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jaalves\Downloads\"/>
    </mc:Choice>
  </mc:AlternateContent>
  <xr:revisionPtr revIDLastSave="0" documentId="8_{32BB1B7C-78E0-4CF8-8938-BDC1A3F337FA}" xr6:coauthVersionLast="47" xr6:coauthVersionMax="47" xr10:uidLastSave="{00000000-0000-0000-0000-000000000000}"/>
  <bookViews>
    <workbookView xWindow="30" yWindow="30" windowWidth="20460" windowHeight="11040" firstSheet="1" activeTab="1" xr2:uid="{00000000-000D-0000-FFFF-FFFF00000000}"/>
  </bookViews>
  <sheets>
    <sheet name="RESULTADOS" sheetId="10" r:id="rId1"/>
    <sheet name="SISTEMATIZAÇÃO DE AÇÕES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8" i="10" l="1"/>
  <c r="N477" i="10"/>
  <c r="N476" i="10"/>
  <c r="N475" i="10"/>
  <c r="N474" i="10"/>
  <c r="N473" i="10"/>
  <c r="N472" i="10"/>
  <c r="N471" i="10"/>
  <c r="N470" i="10"/>
  <c r="N469" i="10"/>
  <c r="N468" i="10"/>
  <c r="N467" i="10"/>
  <c r="N466" i="10"/>
  <c r="N465" i="10"/>
  <c r="N464" i="10"/>
  <c r="N463" i="10"/>
  <c r="N462" i="10"/>
  <c r="N461" i="10"/>
  <c r="N460" i="10"/>
  <c r="N459" i="10"/>
  <c r="N458" i="10"/>
  <c r="N457" i="10"/>
  <c r="N456" i="10"/>
  <c r="N455" i="10"/>
  <c r="N454" i="10"/>
  <c r="N453" i="10"/>
  <c r="N452" i="10"/>
  <c r="N451" i="10"/>
  <c r="N450" i="10"/>
  <c r="N449" i="10"/>
  <c r="N448" i="10"/>
  <c r="N447" i="10"/>
  <c r="N446" i="10"/>
  <c r="N445" i="10"/>
  <c r="N444" i="10"/>
  <c r="N443" i="10"/>
  <c r="N442" i="10"/>
  <c r="N441" i="10"/>
  <c r="N440" i="10"/>
  <c r="N439" i="10"/>
  <c r="N438" i="10"/>
  <c r="N437" i="10"/>
  <c r="N436" i="10"/>
  <c r="N435" i="10"/>
  <c r="N434" i="10"/>
  <c r="N433" i="10"/>
  <c r="N432" i="10"/>
  <c r="N431" i="10"/>
  <c r="N430" i="10"/>
  <c r="N429" i="10"/>
  <c r="N428" i="10"/>
  <c r="N427" i="10"/>
  <c r="N426" i="10"/>
  <c r="N425" i="10"/>
  <c r="N424" i="10"/>
  <c r="N423" i="10"/>
  <c r="N422" i="10"/>
  <c r="N421" i="10"/>
  <c r="N420" i="10"/>
  <c r="N419" i="10"/>
  <c r="N418" i="10"/>
  <c r="N417" i="10"/>
  <c r="N416" i="10"/>
  <c r="N415" i="10"/>
  <c r="N414" i="10"/>
  <c r="N413" i="10"/>
  <c r="N412" i="10"/>
  <c r="N411" i="10"/>
  <c r="N410" i="10"/>
  <c r="N409" i="10"/>
  <c r="N408" i="10"/>
  <c r="N407" i="10"/>
  <c r="N406" i="10"/>
  <c r="N405" i="10"/>
  <c r="N404" i="10"/>
  <c r="N403" i="10"/>
  <c r="N402" i="10"/>
  <c r="N401" i="10"/>
  <c r="N400" i="10"/>
  <c r="N399" i="10"/>
  <c r="N398" i="10"/>
  <c r="N397" i="10"/>
  <c r="N396" i="10"/>
  <c r="N395" i="10"/>
  <c r="N394" i="10"/>
  <c r="N393" i="10"/>
  <c r="N392" i="10"/>
  <c r="N391" i="10"/>
  <c r="N390" i="10"/>
  <c r="N389" i="10"/>
  <c r="N388" i="10"/>
  <c r="N387" i="10"/>
  <c r="N386" i="10"/>
  <c r="N385" i="10"/>
  <c r="N384" i="10"/>
  <c r="N383" i="10"/>
  <c r="N382" i="10"/>
  <c r="N381" i="10"/>
  <c r="N380" i="10"/>
  <c r="N379" i="10"/>
  <c r="N378" i="10"/>
  <c r="N377" i="10"/>
  <c r="N376" i="10"/>
  <c r="N375" i="10"/>
  <c r="N374" i="10"/>
  <c r="N373" i="10"/>
  <c r="N372" i="10"/>
  <c r="N371" i="10"/>
  <c r="N370" i="10"/>
  <c r="N369" i="10"/>
  <c r="N368" i="10"/>
  <c r="N367" i="10"/>
  <c r="N366" i="10"/>
  <c r="N365" i="10"/>
  <c r="N364" i="10"/>
  <c r="N363" i="10"/>
  <c r="N362" i="10"/>
  <c r="N361" i="10"/>
  <c r="N360" i="10"/>
  <c r="N359" i="10"/>
  <c r="N358" i="10"/>
  <c r="N357" i="10"/>
  <c r="N356" i="10"/>
  <c r="N355" i="10"/>
  <c r="N354" i="10"/>
  <c r="N353" i="10"/>
  <c r="N352" i="10"/>
  <c r="N351" i="10"/>
  <c r="N350" i="10"/>
  <c r="N349" i="10"/>
  <c r="N348" i="10"/>
  <c r="N347" i="10"/>
  <c r="N346" i="10"/>
  <c r="N345" i="10"/>
  <c r="N344" i="10"/>
  <c r="N343" i="10"/>
  <c r="N342" i="10"/>
  <c r="N341" i="10"/>
  <c r="N340" i="10"/>
  <c r="N339" i="10"/>
  <c r="N338" i="10"/>
  <c r="N337" i="10"/>
  <c r="N336" i="10"/>
  <c r="N335" i="10"/>
  <c r="N334" i="10"/>
  <c r="N333" i="10"/>
  <c r="N332" i="10"/>
  <c r="N331" i="10"/>
  <c r="N330" i="10"/>
  <c r="N329" i="10"/>
  <c r="N328" i="10"/>
  <c r="N327" i="10"/>
  <c r="N326" i="10"/>
  <c r="N325" i="10"/>
  <c r="N324" i="10"/>
  <c r="N323" i="10"/>
  <c r="N322" i="10"/>
  <c r="N321" i="10"/>
  <c r="N320" i="10"/>
  <c r="N319" i="10"/>
  <c r="N318" i="10"/>
  <c r="N317" i="10"/>
  <c r="N316" i="10"/>
  <c r="N315" i="10"/>
  <c r="N314" i="10"/>
  <c r="N313" i="10"/>
  <c r="N312" i="10"/>
  <c r="N311" i="10"/>
  <c r="N310" i="10"/>
  <c r="N309" i="10"/>
  <c r="N308" i="10"/>
  <c r="N307" i="10"/>
  <c r="N306" i="10"/>
  <c r="N305" i="10"/>
  <c r="N304" i="10"/>
  <c r="N303" i="10"/>
  <c r="N302" i="10"/>
  <c r="N301" i="10"/>
  <c r="N300" i="10"/>
  <c r="N299" i="10"/>
  <c r="N298" i="10"/>
  <c r="N297" i="10"/>
  <c r="N296" i="10"/>
  <c r="N295" i="10"/>
  <c r="N294" i="10"/>
  <c r="N293" i="10"/>
  <c r="N292" i="10"/>
  <c r="N291" i="10"/>
  <c r="N290" i="10"/>
  <c r="N289" i="10"/>
  <c r="N288" i="10"/>
  <c r="N287" i="10"/>
  <c r="N286" i="10"/>
  <c r="N285" i="10"/>
  <c r="N284" i="10"/>
  <c r="N283" i="10"/>
  <c r="N282" i="10"/>
  <c r="N281" i="10"/>
  <c r="N280" i="10"/>
  <c r="N279" i="10"/>
  <c r="N278" i="10"/>
  <c r="N277" i="10"/>
  <c r="N276" i="10"/>
  <c r="N275" i="10"/>
  <c r="N274" i="10"/>
  <c r="N273" i="10"/>
  <c r="N272" i="10"/>
  <c r="N271" i="10"/>
  <c r="N270" i="10"/>
  <c r="N269" i="10"/>
  <c r="N268" i="10"/>
  <c r="N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N243" i="10"/>
  <c r="N242" i="10"/>
  <c r="N241" i="10"/>
  <c r="N240" i="10"/>
  <c r="N239" i="10"/>
  <c r="N238" i="10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N219" i="10"/>
  <c r="N218" i="10"/>
  <c r="N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</calcChain>
</file>

<file path=xl/sharedStrings.xml><?xml version="1.0" encoding="utf-8"?>
<sst xmlns="http://schemas.openxmlformats.org/spreadsheetml/2006/main" count="3587" uniqueCount="759">
  <si>
    <t>ALUNOS MATRICULADOS EM 2026/1° Sem - EM CURSO - Emissão: 09/04/2026 09:59</t>
  </si>
  <si>
    <t>INSERIR TODAS AS DISICIPLINAS E AS NOTAS DE CADA ALUNO</t>
  </si>
  <si>
    <t>NOM_FILI</t>
  </si>
  <si>
    <t>RGM_ALUN</t>
  </si>
  <si>
    <t>TURNO</t>
  </si>
  <si>
    <t>DESCR_SIT_MATR</t>
  </si>
  <si>
    <t>CPF_ALUN</t>
  </si>
  <si>
    <t>TURMA</t>
  </si>
  <si>
    <t>SERIE</t>
  </si>
  <si>
    <t>NOME</t>
  </si>
  <si>
    <t>STATUS DE AÇÃO</t>
  </si>
  <si>
    <t>ENAMEDISTA 2026  SIM OU NÃO</t>
  </si>
  <si>
    <t>CRE</t>
  </si>
  <si>
    <t>SIMULADO 1 - NOTA</t>
  </si>
  <si>
    <t>SIMULADO 2 NOTA</t>
  </si>
  <si>
    <t>DIFERENÇA</t>
  </si>
  <si>
    <t>ÁREA - CIR - ACERTOS</t>
  </si>
  <si>
    <t>ÁREA - CM - ACERTOS</t>
  </si>
  <si>
    <t>ÁREA - GO - ACERTOS</t>
  </si>
  <si>
    <t>ÁREA - PED - ACERTOS</t>
  </si>
  <si>
    <t>ÁREA - MFC / PREV - ACERTOS</t>
  </si>
  <si>
    <t>TCC II</t>
  </si>
  <si>
    <t>TCC I</t>
  </si>
  <si>
    <t>Optativa</t>
  </si>
  <si>
    <t>PONC</t>
  </si>
  <si>
    <t>SHRD</t>
  </si>
  <si>
    <t>SD</t>
  </si>
  <si>
    <t>FCH</t>
  </si>
  <si>
    <t>CNM</t>
  </si>
  <si>
    <t>Farmaco I</t>
  </si>
  <si>
    <t>ITI EXT IV</t>
  </si>
  <si>
    <t>APSC V</t>
  </si>
  <si>
    <t>IMAGINOLOGIA</t>
  </si>
  <si>
    <t>APSC VI</t>
  </si>
  <si>
    <t>Pneumologia</t>
  </si>
  <si>
    <t>URG EMR</t>
  </si>
  <si>
    <t>MSS I</t>
  </si>
  <si>
    <t>APSC IV</t>
  </si>
  <si>
    <t>MAPD II</t>
  </si>
  <si>
    <t>SEMIO II</t>
  </si>
  <si>
    <t>SAV II</t>
  </si>
  <si>
    <t>MPCCI II</t>
  </si>
  <si>
    <t>MSS II</t>
  </si>
  <si>
    <t>ITI EXT I</t>
  </si>
  <si>
    <t>ITI EXT II</t>
  </si>
  <si>
    <t>ITI EXT III</t>
  </si>
  <si>
    <t>BTCA II</t>
  </si>
  <si>
    <t>FARMACO II</t>
  </si>
  <si>
    <t>ASMG I</t>
  </si>
  <si>
    <t>ASMG II</t>
  </si>
  <si>
    <t>CARDIOLOGIA</t>
  </si>
  <si>
    <t>NEFRO</t>
  </si>
  <si>
    <t>UROLOGIA</t>
  </si>
  <si>
    <t>DERMATO</t>
  </si>
  <si>
    <t>ENDOCRINO</t>
  </si>
  <si>
    <t>GASTRO</t>
  </si>
  <si>
    <t>INOV SAUDE</t>
  </si>
  <si>
    <t>ITI EXT V</t>
  </si>
  <si>
    <t>PATOLOGIA</t>
  </si>
  <si>
    <t>APSC II</t>
  </si>
  <si>
    <t>MED SAU SOC II</t>
  </si>
  <si>
    <t>ECO - SAUDE MENTAL</t>
  </si>
  <si>
    <t>ECO - URG EMERG</t>
  </si>
  <si>
    <t>ECO - GINECO E OBS</t>
  </si>
  <si>
    <t>ECO- PEDIAT</t>
  </si>
  <si>
    <t>ECO - CLIN CIRUR</t>
  </si>
  <si>
    <t>ECO- CLIN MED</t>
  </si>
  <si>
    <t>ECO- SAUDE COLETIVA</t>
  </si>
  <si>
    <t>ECO-APS</t>
  </si>
  <si>
    <t>UNIPÊ - GRADUAÇÃO</t>
  </si>
  <si>
    <t>Diurno</t>
  </si>
  <si>
    <t>EM CURSO</t>
  </si>
  <si>
    <t>A</t>
  </si>
  <si>
    <t>ADOLFO PATRICIO GUEDES</t>
  </si>
  <si>
    <t>ALUNO NA FAIXA DE 50 A 60%, NECESSITANDO DE APRIMORAMENTO, CHAMAR PARA INTERVENÇÃO</t>
  </si>
  <si>
    <t>NÃO</t>
  </si>
  <si>
    <t>AILTON SIMPLICIO DE PAULA NETO</t>
  </si>
  <si>
    <t>SIM</t>
  </si>
  <si>
    <t>D</t>
  </si>
  <si>
    <t>ALBERTO JORGE DANTAS SALES JÚNIOR</t>
  </si>
  <si>
    <t>ALUNO COM REPROVAÇÕES - SEM FAZER SIMULADO - CONSTRUIR PLANO DE ESTUDOS</t>
  </si>
  <si>
    <t>7.45</t>
  </si>
  <si>
    <t>B</t>
  </si>
  <si>
    <t>ALDEIDE DE OLIVEIRA BATISTA ROCHA</t>
  </si>
  <si>
    <t>ALUNO COM NOTA ABAIXO DE 50%. NECESSITANDO  DE REFORÇO E APRODUNDAMENTO NO PREPARATÓRIO</t>
  </si>
  <si>
    <t>8.07</t>
  </si>
  <si>
    <t>ALEXANDRE REVORÊDO CAMPOS</t>
  </si>
  <si>
    <t>N/C</t>
  </si>
  <si>
    <t>ALEXANDRINA DE MOURA FREITAS PIMENTEL</t>
  </si>
  <si>
    <t>8.55</t>
  </si>
  <si>
    <t>ALICE DA SILVA COÊLHO</t>
  </si>
  <si>
    <t>C</t>
  </si>
  <si>
    <t>ALICE DE SOUSA BEZERRA</t>
  </si>
  <si>
    <t>9.17</t>
  </si>
  <si>
    <t>ALICE LIRA BELTRÃO</t>
  </si>
  <si>
    <t>ÁLVARO GALDINO VIEIRA</t>
  </si>
  <si>
    <t>AMANDA COSTA SOUZA VILLARIM</t>
  </si>
  <si>
    <t>8.96</t>
  </si>
  <si>
    <t>AMANDA KALINE BEZERRA GOMES</t>
  </si>
  <si>
    <t>8.44</t>
  </si>
  <si>
    <t>AMANDA MARAVILHA LEITE DE FRANÇA</t>
  </si>
  <si>
    <t>9.04</t>
  </si>
  <si>
    <t>AMANDA TELES DE SOUZA BEZERRA</t>
  </si>
  <si>
    <t>ANA BEATRIZ CALADO PINHO PESSOA</t>
  </si>
  <si>
    <t>8.37</t>
  </si>
  <si>
    <t>ANA BEATRIZ CAVALCANTE DINIZ</t>
  </si>
  <si>
    <t>ANA BEATRIZ SANTOS GUEDES</t>
  </si>
  <si>
    <t>8.73</t>
  </si>
  <si>
    <t>ANA BEATRIZ TAVARES DOS ANJOS</t>
  </si>
  <si>
    <t>NÃO MATRICULADO</t>
  </si>
  <si>
    <t>ANA BEATRIZ VIANA DA NÓBREGA</t>
  </si>
  <si>
    <t>ANA CAROLINA BRITO ALENCAR ALVES</t>
  </si>
  <si>
    <t>8.27</t>
  </si>
  <si>
    <t>ANA CAROLINA DE PAULA DELAFIORI HIKIJI</t>
  </si>
  <si>
    <t>ANA CAROLINA FERNANDES</t>
  </si>
  <si>
    <t>ANA CAROLINE DE SOUZA DANTAS</t>
  </si>
  <si>
    <t>9.11</t>
  </si>
  <si>
    <t>ANA CLARA PESSOA DO NASCIMENTO</t>
  </si>
  <si>
    <t>7.95</t>
  </si>
  <si>
    <t>ANA GABRIELLA CARDOSO MEDEIROS</t>
  </si>
  <si>
    <t>8.45</t>
  </si>
  <si>
    <t>ANA HIASMYNE BELÉM DE LUCENA GOMES</t>
  </si>
  <si>
    <t>ANA ISABEL LEAL PEREIRA</t>
  </si>
  <si>
    <t>8.91</t>
  </si>
  <si>
    <t>ANA JULIA BELTRÃO RIBEIRO COUTINHO DE FREITAS</t>
  </si>
  <si>
    <t>8.47</t>
  </si>
  <si>
    <t>ANA KAROLYNE PACHECO CERQUEIRA</t>
  </si>
  <si>
    <t>8.54</t>
  </si>
  <si>
    <t>ANA LUIZA NUNES DA SILVA</t>
  </si>
  <si>
    <t>ANA PEDRINA FREITAS MASCARENHAS</t>
  </si>
  <si>
    <t>8.79</t>
  </si>
  <si>
    <t>ANA RAFAELA SOUZA DOS SANTOS LIMA</t>
  </si>
  <si>
    <t>ANA RENATA VARANDAS TARGINO</t>
  </si>
  <si>
    <t>9.21</t>
  </si>
  <si>
    <t>ANA RITA BIZERRA DO NASCIMENTO RIBEIRO</t>
  </si>
  <si>
    <t>8.46</t>
  </si>
  <si>
    <t>ANA TAYNA BELÉM ALVES</t>
  </si>
  <si>
    <t>8.72</t>
  </si>
  <si>
    <t>ANALICY SILVA SOUZA CAMPOS CABRAL</t>
  </si>
  <si>
    <t>9.40</t>
  </si>
  <si>
    <t>ANDERSON FERNANDES DA SILVA</t>
  </si>
  <si>
    <t>8.90</t>
  </si>
  <si>
    <t>ANDERSON RAMOS GOMES</t>
  </si>
  <si>
    <t>ANDRÉ HIDEKI GABRIEL ADACHI</t>
  </si>
  <si>
    <t>ANDRE LUIS DE GOIS PEÇANHA</t>
  </si>
  <si>
    <t>ANDRÉ LUIZ DE MEDEIROS MORAIS</t>
  </si>
  <si>
    <t>9.49</t>
  </si>
  <si>
    <t>ANDRÉ LUIZ LEITE SCOTT JÚNIOR</t>
  </si>
  <si>
    <t>7.23</t>
  </si>
  <si>
    <t>ANDRESSA BARBOSA OLIVEIRA</t>
  </si>
  <si>
    <t>ANDRESSA GOMES FERREIRA</t>
  </si>
  <si>
    <t>ANDRESSA LUCENA DE OLIVEIRA</t>
  </si>
  <si>
    <t>8.52</t>
  </si>
  <si>
    <t>ANDREY VINICIUS BARROS DINIZ</t>
  </si>
  <si>
    <t>ANGÉLICA BARROS ARAÚJO</t>
  </si>
  <si>
    <t>ÂNGELO MARQUES LEAL FILHO</t>
  </si>
  <si>
    <t>8.59</t>
  </si>
  <si>
    <t>ANNA BEATRIZ DA CUNHA LIMA GAMA</t>
  </si>
  <si>
    <t>8.09</t>
  </si>
  <si>
    <t>ANNA BEATRIZ FERREIRA CAETANO</t>
  </si>
  <si>
    <t>ANNA CLARA REGES SALDANHA</t>
  </si>
  <si>
    <t>7.63</t>
  </si>
  <si>
    <t>ANNA KAROLYNE FERREIRA ALMEIDA</t>
  </si>
  <si>
    <t>ANNA LAURA DIAS DE ALBUQUERQUE CARDOSO</t>
  </si>
  <si>
    <t>9.10</t>
  </si>
  <si>
    <t>ANNA LETÍCIA COSTA RAPOSO TAVARES</t>
  </si>
  <si>
    <t>ANNA VITÓRIA MARQUES MARTINS</t>
  </si>
  <si>
    <t>ANNALUIZA CORREIA FONTES</t>
  </si>
  <si>
    <t>9.22</t>
  </si>
  <si>
    <t>ANNELINE FERNANDES PEREIRA</t>
  </si>
  <si>
    <t>7.76</t>
  </si>
  <si>
    <t>ANTÔNIO AMÉRICO FALCONE DE ALMEIDA FILHO</t>
  </si>
  <si>
    <t>8.78</t>
  </si>
  <si>
    <t>ANTONIO DE PADUA ARRUDA NETO</t>
  </si>
  <si>
    <t>8.24</t>
  </si>
  <si>
    <t>ARTHUR MOREIRA MEIRELLES</t>
  </si>
  <si>
    <t>ARTHUR NOBRE CAVALCANTE</t>
  </si>
  <si>
    <t>8.22</t>
  </si>
  <si>
    <t>ARTUR FORMIGA PORDEUS</t>
  </si>
  <si>
    <t>AYLA PARAGUAY EBRAHIM</t>
  </si>
  <si>
    <t>AYSA MÔNICA ANDRADE GALDINO</t>
  </si>
  <si>
    <t>8.71</t>
  </si>
  <si>
    <t>BARBARA MANUELLY BEZERRA CHAVES</t>
  </si>
  <si>
    <t>8.39</t>
  </si>
  <si>
    <t>BÁRBARA MARIA ANDRADE BARBOSA</t>
  </si>
  <si>
    <t>8.53</t>
  </si>
  <si>
    <t>BARBARA MARIA QUEIROGA ABRANTES</t>
  </si>
  <si>
    <t>8.98</t>
  </si>
  <si>
    <t>BEATRIZ ÁVILA DE MELO MORENO</t>
  </si>
  <si>
    <t>8.05</t>
  </si>
  <si>
    <t>BEATRIZ BARBOSA CAVALCANTE</t>
  </si>
  <si>
    <t>8.31</t>
  </si>
  <si>
    <t>BEATRIZ BELTRÃO DE LEÓN</t>
  </si>
  <si>
    <t>BEATRIZ GALGANE CASACCHI</t>
  </si>
  <si>
    <t>BEATRIZ LOPES CARVALHO</t>
  </si>
  <si>
    <t>BEATRIZ ROLIM CARTAXO</t>
  </si>
  <si>
    <t>9.05</t>
  </si>
  <si>
    <t>BEATRIZ SIMÔA TEIXEIRA</t>
  </si>
  <si>
    <t>BIANCA ESPINOLA DINIZ</t>
  </si>
  <si>
    <t>BIANCA MOTA CORDEIRO</t>
  </si>
  <si>
    <t>BLANCA GUEDES FRAGOSO DANTAS</t>
  </si>
  <si>
    <t>BRENNER ROCHA VIEIRA</t>
  </si>
  <si>
    <t>BRUNA DINIZ MONTEIRO</t>
  </si>
  <si>
    <t>BRUNA LOUREIRO DE ARAÚJO ELOY DUNDA</t>
  </si>
  <si>
    <t>BRUNNO LEONNARDO SILVA DE SOUTO</t>
  </si>
  <si>
    <t>9.00</t>
  </si>
  <si>
    <t>BRUNO COUTO WENCESLAU</t>
  </si>
  <si>
    <t>7.72</t>
  </si>
  <si>
    <t>CAIO FERNANDO DE LIMA ALBUQUERQUE</t>
  </si>
  <si>
    <t>8.65</t>
  </si>
  <si>
    <t>CALINA HELENA PAIVA DE BARROS CUNHA</t>
  </si>
  <si>
    <t>CAMILA LOPES FRANKLIN BEZERRA</t>
  </si>
  <si>
    <t>9.14</t>
  </si>
  <si>
    <t>CAMILA VITÓRIA MORAIS MADEIRA</t>
  </si>
  <si>
    <t>8.57</t>
  </si>
  <si>
    <t>CAMILLA PALMEIRA DE ARAUJO</t>
  </si>
  <si>
    <t>9.19</t>
  </si>
  <si>
    <t>CARLA VITORIA DA SILVA SOARES</t>
  </si>
  <si>
    <t>CARLOS ALBERTO FORMIGA DE ALMEIDA SOBRINHO</t>
  </si>
  <si>
    <t>7.67</t>
  </si>
  <si>
    <t>CARLOS ANTÔNIO DA COSTA NETO</t>
  </si>
  <si>
    <t>CARLOS FÁBIO CORDEIRO DE LIMA</t>
  </si>
  <si>
    <t>8.15</t>
  </si>
  <si>
    <t>CARLOS RÔMULO DE FREITAS OLIVEIRA SEGUNDO</t>
  </si>
  <si>
    <t>8.69</t>
  </si>
  <si>
    <t>CAROLINA DA CONCEIÇÃO SANTOS</t>
  </si>
  <si>
    <t>CAROLINA WANDERLEY QUEIROGA DE FREITAS EVANGELISTA</t>
  </si>
  <si>
    <t>CAROLINE ARAÚJO AMORIM BASTOS</t>
  </si>
  <si>
    <t>8.21</t>
  </si>
  <si>
    <t>CAROLINE FERNANDES MIRANDA DA CUNHA</t>
  </si>
  <si>
    <t>9.07</t>
  </si>
  <si>
    <t>CAROLINE PEREIRA SOUTO</t>
  </si>
  <si>
    <t>8.76</t>
  </si>
  <si>
    <t>CAUÊ ANDRADE DE OLIVEIRA</t>
  </si>
  <si>
    <t>CHARLÂNE MARINHO ALMEIDA URACH</t>
  </si>
  <si>
    <t>9.13</t>
  </si>
  <si>
    <t>CÍCERO ODON DE MACÊDO FILHO</t>
  </si>
  <si>
    <t>8.86</t>
  </si>
  <si>
    <t>CLARA BEATRIZ VASCONCELOS BRAGA CAVALCANTE</t>
  </si>
  <si>
    <t>CLARA GIMENA DINIZ FILGUEIRA</t>
  </si>
  <si>
    <t>8.35</t>
  </si>
  <si>
    <t>CLARISSA MARTINNA DA SILVA FRAZÃO</t>
  </si>
  <si>
    <t>CLAUDIONOR PAULINO DA SILVA SEGUNDO</t>
  </si>
  <si>
    <t>CLEBSON CORDEIRO DE OLIVEIRA</t>
  </si>
  <si>
    <t>CLÓVIS PATRÍCIO DE MACÊDO FILHO</t>
  </si>
  <si>
    <t>9.45</t>
  </si>
  <si>
    <t>CYBELLE FONTES ELOY</t>
  </si>
  <si>
    <t>9.02</t>
  </si>
  <si>
    <t>CYNTIA BERNADETE GOMES DA FONSECA</t>
  </si>
  <si>
    <t>8.74</t>
  </si>
  <si>
    <t>DANIEL CABRAL DE ALMEIDA FERREIRA</t>
  </si>
  <si>
    <t>DANIEL PEDRO DA SILVA FILHO</t>
  </si>
  <si>
    <t>DANILO BARBOSA DE ABRANTES</t>
  </si>
  <si>
    <t>DAYANNA FERREIRA GOMES</t>
  </si>
  <si>
    <t>DAYANNE JOYCE PEREIRA TAVARES</t>
  </si>
  <si>
    <t>8.70</t>
  </si>
  <si>
    <t>DÉBORA LUCENA DE MELO</t>
  </si>
  <si>
    <t>DEMISSON CARLOS BOTELHO DE QUEIROGA</t>
  </si>
  <si>
    <t>DEYVID MELO DE LIMA</t>
  </si>
  <si>
    <t>DIEGO GOMES PASSOS</t>
  </si>
  <si>
    <t>7.81</t>
  </si>
  <si>
    <t>DILSON DE ALMEIDA NETO</t>
  </si>
  <si>
    <t>7.99</t>
  </si>
  <si>
    <t>DOUGLAS JEAN DE ARAÚJO PRIMO</t>
  </si>
  <si>
    <t>EDER JACKSON BEZERRA DE ALMEIDA FILHO</t>
  </si>
  <si>
    <t>EDJEYSE DE OLIVEIRA CUNHA</t>
  </si>
  <si>
    <t>9.12</t>
  </si>
  <si>
    <t>EDMAN GONÇALVES DE SOUZA</t>
  </si>
  <si>
    <t>8.61</t>
  </si>
  <si>
    <t>EDUARDA FELIX DE ARAÚJO</t>
  </si>
  <si>
    <t>8.94</t>
  </si>
  <si>
    <t>EDUARDO PAULO QUEIROZ TÔRRES</t>
  </si>
  <si>
    <t>8.34</t>
  </si>
  <si>
    <t>EGIANE CORREIA CABRAL BARBOSA</t>
  </si>
  <si>
    <t>7.86</t>
  </si>
  <si>
    <t>ELLEN CAROLINE DOS SANTOS SALES</t>
  </si>
  <si>
    <t>8.10</t>
  </si>
  <si>
    <t>ELLTON JOSÉ OLIVEIRA MARQUES</t>
  </si>
  <si>
    <t>9.01</t>
  </si>
  <si>
    <t>EMANUEL CARDOSO DA COSTA</t>
  </si>
  <si>
    <t xml:space="preserve">29
</t>
  </si>
  <si>
    <t>ÊMILLE VAMIELLY DE ALMEIDA BARBOSA</t>
  </si>
  <si>
    <t>7.66</t>
  </si>
  <si>
    <t>EMILLY DANTAS DE ARAÚJO</t>
  </si>
  <si>
    <t>EMILLY RENALY SOUZA ALVES</t>
  </si>
  <si>
    <t>EMILY DE OLIVEIRA OKANO</t>
  </si>
  <si>
    <t>8.26</t>
  </si>
  <si>
    <t>EMMANUEL SANTANA PACHECO DA SILVA</t>
  </si>
  <si>
    <t>EMMILY MAYARA SANTOS LIMA</t>
  </si>
  <si>
    <t>FERNANDO HEIDER DE MESQUITA LEITÃO</t>
  </si>
  <si>
    <t>9.24</t>
  </si>
  <si>
    <t>FERNANDO TAVARES PAULINO</t>
  </si>
  <si>
    <t>FILIPPE DE SOUSA SANTOS</t>
  </si>
  <si>
    <t>FLAVIA NAYRA ARAUJO RODRIGUES</t>
  </si>
  <si>
    <t>8.60</t>
  </si>
  <si>
    <t>GABRIEL BANDEIRA DE MELO AQUINO</t>
  </si>
  <si>
    <t>8.49</t>
  </si>
  <si>
    <t>GABRIEL DE CARVALHO MOREIRA</t>
  </si>
  <si>
    <t>GABRIEL FRAZÃO COSTA BRAGA</t>
  </si>
  <si>
    <t>GABRIEL GAUDÊNCIO DA FONSÊCA</t>
  </si>
  <si>
    <t>GABRIEL PEREIRA DE FRANÇA MEDEIROS</t>
  </si>
  <si>
    <t>GABRIEL VICTOR SOARES LAVÔR NUNES</t>
  </si>
  <si>
    <t>GABRIELA BORGES DE OLIVEIRA CARVALHO</t>
  </si>
  <si>
    <t>7.94</t>
  </si>
  <si>
    <t>GABRIELA DE SANTANA MORAIS</t>
  </si>
  <si>
    <t>GABRIELA LOPES GALVAO BEZERRA DA CUNHA</t>
  </si>
  <si>
    <t>8.93</t>
  </si>
  <si>
    <t>GABRIELA VI FEREIRA TAVARES PORDEUS</t>
  </si>
  <si>
    <t>GABRIELLA FERNANDES MADRUGA SOUTO</t>
  </si>
  <si>
    <t>GABRIELLA THAÍSA ROLIM MARTINS</t>
  </si>
  <si>
    <t>GALDINO TOSCANO DE BRITO NETO</t>
  </si>
  <si>
    <t>GEMINIANO LUIZ MAROJA LIMEIRA NETO</t>
  </si>
  <si>
    <t>8.01</t>
  </si>
  <si>
    <t>GEORGE ELTON LUCENA SILVA</t>
  </si>
  <si>
    <t>GEÓRGIA LEILANE SOUSA BEZERRA</t>
  </si>
  <si>
    <t>GEORGIA MÔNICA TAVARES ALVES</t>
  </si>
  <si>
    <t>8.84</t>
  </si>
  <si>
    <t>GEOVANA SANTOS DO O</t>
  </si>
  <si>
    <t>GEOVANNA GOMES CORDEIRO DE MORAIS</t>
  </si>
  <si>
    <t>GIGLIOLA HELLEN FINIZOLA BARBOSA</t>
  </si>
  <si>
    <t>8.92</t>
  </si>
  <si>
    <t>GILZA BANDEIRA MONTEIRO DE SOUSA NETA</t>
  </si>
  <si>
    <t>GIORDANO LEITE DIAS FILHO</t>
  </si>
  <si>
    <t>GIOVANA COSTA DIAS LINS</t>
  </si>
  <si>
    <t>8.64</t>
  </si>
  <si>
    <t>GIOVANNA MOURA MEIRA DE CARVALHO CHAVES</t>
  </si>
  <si>
    <t>7.36</t>
  </si>
  <si>
    <t>GIOVANNA TARGINO DE SOUSA</t>
  </si>
  <si>
    <t>GIULIA RODRIGUES OLIVEIRA TEOTÔNIO</t>
  </si>
  <si>
    <t>7.88</t>
  </si>
  <si>
    <t>GLÊDSON DE QUEIROZ FIGUEIRÊDO</t>
  </si>
  <si>
    <t>8.25</t>
  </si>
  <si>
    <t>GLERISTON FERREIRA CARLOS</t>
  </si>
  <si>
    <t>GUILHERME DE ANDRADE CARVALHO DANTAS BARBOSA</t>
  </si>
  <si>
    <t>GUILHERME KAUÃ GONÇALVES ABRANTES</t>
  </si>
  <si>
    <t>9.28</t>
  </si>
  <si>
    <t>HELENA TEÓFILO MENDONÇA</t>
  </si>
  <si>
    <t>8.51</t>
  </si>
  <si>
    <t>HELIDA MARINHO TOSCANO DE BRITO SALES</t>
  </si>
  <si>
    <t>HÉLIO LISBÔA DE MORAES RÊGO NETO</t>
  </si>
  <si>
    <t>HELLAYNE GOUVEIA DE ARAUJO TEOTONIO</t>
  </si>
  <si>
    <t>8.18</t>
  </si>
  <si>
    <t>HELLEN SILVA SOUSA</t>
  </si>
  <si>
    <t>HELORA BRENDA ROCHA MEDEIROS DOS SANTOS</t>
  </si>
  <si>
    <t>HEMILY MISSAYRE CAVALCANTI DE MEDEIROS</t>
  </si>
  <si>
    <t>HERMANO TOSCANO CAVALCANTI GOMES</t>
  </si>
  <si>
    <t>7.89</t>
  </si>
  <si>
    <t>HEYELL KEVIN RODRIGUES FRANKLIN CHACON</t>
  </si>
  <si>
    <t>9.39</t>
  </si>
  <si>
    <t>HORTÊNCIA MARIA GONÇALO DA COSTA</t>
  </si>
  <si>
    <t>HORTENSIA ROCHA GONÇALVES DE ABRANTES</t>
  </si>
  <si>
    <t>HUGO BEZERRA TOCCHETTO</t>
  </si>
  <si>
    <t>HUGO VILAR MEDEIROS</t>
  </si>
  <si>
    <t>7.21</t>
  </si>
  <si>
    <t>IAGOR WINGENBAH GUADAGNIN</t>
  </si>
  <si>
    <t>8.81</t>
  </si>
  <si>
    <t>IARA RODRIGUES DE LUCENA NETA</t>
  </si>
  <si>
    <t>IGOR ARAÚJO COSTA DE OLIVEIRA</t>
  </si>
  <si>
    <t>7.96</t>
  </si>
  <si>
    <t>INGRID GIANNY DOS SANTOS BATISTA</t>
  </si>
  <si>
    <t>9.41</t>
  </si>
  <si>
    <t>IRACI MEDEIROS BEZERRA NETA</t>
  </si>
  <si>
    <t>IRONILDO SEGUNDO SANTIAGO DE BRITO SILVESTRE QUIRINO</t>
  </si>
  <si>
    <t>ISABEL CRISTINA CARVALHO DI LORENZO</t>
  </si>
  <si>
    <t>ISABELLA LINS FALCÃO DE CARVALHO MENDES</t>
  </si>
  <si>
    <t>ISADORA BARBOSA GONÇALVES DA SILVA</t>
  </si>
  <si>
    <t>ISADORA DE AQUINO PASSOS SALES</t>
  </si>
  <si>
    <t>ISADORA LUÍSA RAMOS DO EGYPTO QUEIROGA</t>
  </si>
  <si>
    <t>7.92</t>
  </si>
  <si>
    <t>ISADORA RAMALHO BORGES</t>
  </si>
  <si>
    <t>ISAN FILIPI COUTINHO FARIAS</t>
  </si>
  <si>
    <t>ÍSIS NUNES SIQUEIRA MARQUES DE AGUIAR</t>
  </si>
  <si>
    <t>8.58</t>
  </si>
  <si>
    <t>IZABELA MARIA MEDEIROS AZEVEDO</t>
  </si>
  <si>
    <t>JADE LINS VELOSO</t>
  </si>
  <si>
    <t>JAMILLE DA SILVA ABRANTES</t>
  </si>
  <si>
    <t>JANIELE DOMICIANO DANTAS DE SOUSA</t>
  </si>
  <si>
    <t>9.18</t>
  </si>
  <si>
    <t>JANINE EMMANUELE SANTOS DE LIRA</t>
  </si>
  <si>
    <t>JEANNY SERAFIM GALDINO LUCENA</t>
  </si>
  <si>
    <t>JEDSON CORDEIRO PONTES</t>
  </si>
  <si>
    <t>JEHAN GLEYSON ELIAS CASTO ALVES</t>
  </si>
  <si>
    <t>9.06</t>
  </si>
  <si>
    <t>JÉNNIFER LAYANNE LOPES ARAÚJO</t>
  </si>
  <si>
    <t>JEOVANA DE POLLO CAMPOS</t>
  </si>
  <si>
    <t>JESSICA NUNES PRADO DA CUNHA</t>
  </si>
  <si>
    <t>JÉSSICA VALARDÃO</t>
  </si>
  <si>
    <t>JÉSSICA VICKY BERNARDO DE OLIVEIRA</t>
  </si>
  <si>
    <t>JOÃO ANTÔNIO NOGUEIRA DE QUEIROZ</t>
  </si>
  <si>
    <t>JOÃO DANIEL CORDEIRO FRANÇA</t>
  </si>
  <si>
    <t>JOÃO PEDRO BATISTA LIRA</t>
  </si>
  <si>
    <t>JOÃO PEDRO PALHANO LEANDRO</t>
  </si>
  <si>
    <t>JOAO VICTOR DIÓGENES DO NASCIMENTO</t>
  </si>
  <si>
    <t>JOÃO VICTOR FLORENTINO DOS SANTOS HENRIQUES</t>
  </si>
  <si>
    <t>JOÃO VICTOR MEDEIROS</t>
  </si>
  <si>
    <t>JOÃO VITOR CAVALCANTE ALVES</t>
  </si>
  <si>
    <t>JOAQUIM OSTERNE CARNEIRO NETO</t>
  </si>
  <si>
    <t>9.25</t>
  </si>
  <si>
    <t>JORDÂNIA SOUZA LINS DE VASCONCELOS</t>
  </si>
  <si>
    <t>JOSÉ ALAN PINTO TENÓRIO</t>
  </si>
  <si>
    <t>JOSÉ ALVES FÉLIX NETO</t>
  </si>
  <si>
    <t>JOSÉ ANTONIO DA SILVA JÚNIOR</t>
  </si>
  <si>
    <t>JOSÉ EDUARDO ALVES DA SILVA LIMA</t>
  </si>
  <si>
    <t>JOSE FELIPE LACERDA FERNANDES</t>
  </si>
  <si>
    <t>JOSÉ HERMANO DIAS DA CRUZ FILHO</t>
  </si>
  <si>
    <t>JOSE NYELLYSON EUFRAUZINO CHAGAS</t>
  </si>
  <si>
    <t>JOSE ROBERTO FERREIRA SOARES NETO</t>
  </si>
  <si>
    <t>JOSUÁ MARIZ TIMÓTEO DE SOUSA FILHO</t>
  </si>
  <si>
    <t>8.80</t>
  </si>
  <si>
    <t>JÚLIA CARMEM CORREIA LIMA JORDÃO</t>
  </si>
  <si>
    <t>9.30</t>
  </si>
  <si>
    <t>JÚLIA DUARTE ANDRADE OLIVEIRA</t>
  </si>
  <si>
    <t>JULIANNA VENTURA PEREIRA</t>
  </si>
  <si>
    <t>JÚLIO CÉSAR FERNANDES CRUZ DE MEDEIROS</t>
  </si>
  <si>
    <t>JULIO DAVI COSTA E SILVA</t>
  </si>
  <si>
    <t>JULIO MARIANO DE OLIVEIRA NETO</t>
  </si>
  <si>
    <t>JULYA MARIA DE ALENCAR E SÁ</t>
  </si>
  <si>
    <t>KAMYLLA MATOS DUARTE</t>
  </si>
  <si>
    <t>KAREN DELFINO MEDEIROS</t>
  </si>
  <si>
    <t>KAREN NATYARA PALITOT BANDEIRA</t>
  </si>
  <si>
    <t>KARINA MARCELA SANTOS BATISTA</t>
  </si>
  <si>
    <t>KAROLINA DIÓGENES</t>
  </si>
  <si>
    <t>KAROLINE LOPES SANTOS CAVALCANTI</t>
  </si>
  <si>
    <t>KAROLYNE SENNA DUARTE</t>
  </si>
  <si>
    <t>8.23</t>
  </si>
  <si>
    <t>KATIANE MARQUES VASCONCELOS DE LIMA</t>
  </si>
  <si>
    <t>8.88</t>
  </si>
  <si>
    <t>KELLY CABRAL TELES</t>
  </si>
  <si>
    <t>9.20</t>
  </si>
  <si>
    <t>KESSIA CORCINO SOARES</t>
  </si>
  <si>
    <t>KEVIN FELIPE PINHEIRO DO NASCIMENTO</t>
  </si>
  <si>
    <t>LARA BEATRIZ FELIPE RIBEIRO COUTINHO DE ARAÚJO</t>
  </si>
  <si>
    <t>LARA STHEFANY DINIZ LIMA</t>
  </si>
  <si>
    <t>LARISSA CAVALCANTE MONTEIRO DE BRITO</t>
  </si>
  <si>
    <t>LARISSA DE CARVALHO CHAVES VARANDAS PAIVA</t>
  </si>
  <si>
    <t>8.13</t>
  </si>
  <si>
    <t>LARISSA FRANÇA DE PINHO</t>
  </si>
  <si>
    <t>LARYSSA FREIRE BEZERRA</t>
  </si>
  <si>
    <t>8.40</t>
  </si>
  <si>
    <t>LARYSSA ROSA LOPES FREIRE</t>
  </si>
  <si>
    <t>LAURA ELMA MAIA NASCIMENTO LINS</t>
  </si>
  <si>
    <t>LAURA REGIS ARAUJO</t>
  </si>
  <si>
    <t>8.41</t>
  </si>
  <si>
    <t>LAURA VIDAL LINS DOS SANTOS</t>
  </si>
  <si>
    <t>8.75</t>
  </si>
  <si>
    <t>LAVÍNYA DE FRANÇA MORAES COUTO</t>
  </si>
  <si>
    <t>LAYANNE IZABEL MUNIZ DE ALMEIDA</t>
  </si>
  <si>
    <t>LAYANNY ESTEFANNY LIRA DE ANDRADE</t>
  </si>
  <si>
    <t>LAYLA TAVARES PEDROSA</t>
  </si>
  <si>
    <t>LEANDRO HENRIQUE DE ANDRADE FERREIRA</t>
  </si>
  <si>
    <t>LEANDRO MEDEIROS VANDERLEI PEDROSA DA COSTA</t>
  </si>
  <si>
    <t>8.48</t>
  </si>
  <si>
    <t>LETÍCIA BRAVO DE ARRUDA BRITO</t>
  </si>
  <si>
    <t>8.06</t>
  </si>
  <si>
    <t>LETÍCIA CAVALCANTE LEITE</t>
  </si>
  <si>
    <t>LETÍCIA CUNHA LIMA MONTEROS</t>
  </si>
  <si>
    <t>8.28</t>
  </si>
  <si>
    <t>LETÍCIA INGRID DA ROCHA PINHEIRO</t>
  </si>
  <si>
    <t>LETÍCIA MENDES DE SÁ BRAGA</t>
  </si>
  <si>
    <t>LETÍCIA TENÓRIO DE ARAÚJO</t>
  </si>
  <si>
    <t>LÍLIAN VELLOZO CAVALCANTI DE ARRUDA</t>
  </si>
  <si>
    <t>LÍVIA CAVALCANTI NOVAIS</t>
  </si>
  <si>
    <t>LÍVIA MARIA FERNANDES MORENO MOREIRA</t>
  </si>
  <si>
    <t>LÓIDE FERREIRA MIRANDA</t>
  </si>
  <si>
    <t>8.89</t>
  </si>
  <si>
    <t>LORENA HELENA GALVÃO CAVALCANTI</t>
  </si>
  <si>
    <t>LORENA MARTINS MARSICANO MANGUEIRA</t>
  </si>
  <si>
    <t>LUANA ALBUQUERQUE TRINDADE</t>
  </si>
  <si>
    <t>8.63</t>
  </si>
  <si>
    <t>LUANA DE SÁ FERNANDES</t>
  </si>
  <si>
    <t>LUANA KELLY RODRIGUES DA CUNHA ARAÚJO</t>
  </si>
  <si>
    <t>8.43</t>
  </si>
  <si>
    <t>LUCAS HENRIQUE DOS SANTOS GALDINO</t>
  </si>
  <si>
    <t>LUCAS LEONE DOS SANTOS DE JESUS</t>
  </si>
  <si>
    <t>7.77</t>
  </si>
  <si>
    <t>LUCAS SILVA BARBOSA BEZERRA</t>
  </si>
  <si>
    <t>LÚCIA HELENA DA COSTA BEZERRA</t>
  </si>
  <si>
    <t>LÚCIA RAÍZA FEITOSA ALVES DE OLIVEIRA</t>
  </si>
  <si>
    <t>LUCIANA BEZERRA MOURA CAVALCANTE</t>
  </si>
  <si>
    <t>LUCIANA OLIVEIRA DE MELO BARRETO</t>
  </si>
  <si>
    <t>LUDMILA GONZAGA DE SOUZA</t>
  </si>
  <si>
    <t>LUDMYLLA MONTENEGRO VIEIRA</t>
  </si>
  <si>
    <t>0.00</t>
  </si>
  <si>
    <t>LUÍS EDUARDO FERNANDES VIEIRA PEDROSA</t>
  </si>
  <si>
    <t>8.42</t>
  </si>
  <si>
    <t>LUIS EDUARDO LEITE ALMEIDA</t>
  </si>
  <si>
    <t>LUÍS HENRIQUE FERNANDES RIBEIRO</t>
  </si>
  <si>
    <t>LUÍZA DANIELA DE TOLÊDO ARAÚJO</t>
  </si>
  <si>
    <t>7.69</t>
  </si>
  <si>
    <t>LUIZA FERNANDES GUALBERTO LINS</t>
  </si>
  <si>
    <t>LUMA MARIANA GALVÃO DE LIMA</t>
  </si>
  <si>
    <t>LUNNA DA COSTA SILVA CARNEIRO GAMA</t>
  </si>
  <si>
    <t>MAIRA SURIEL FERREIRA DE MORAES</t>
  </si>
  <si>
    <t>8.95</t>
  </si>
  <si>
    <t>MANOEL GARCEZ MARINHO NETO</t>
  </si>
  <si>
    <t>MANUELA VITÓRIA NERI COSTA</t>
  </si>
  <si>
    <t>7.85</t>
  </si>
  <si>
    <t>MARCELA LOURENÇO LACERDA</t>
  </si>
  <si>
    <t>9.31</t>
  </si>
  <si>
    <t>MARCONE ALMEIDA DANTAS JÚNIOR</t>
  </si>
  <si>
    <t>MARCOS DANTAS MOREIRA DE PAIVA</t>
  </si>
  <si>
    <t>MARIA AILZA BERTINO DE SÁ RODRIGUES</t>
  </si>
  <si>
    <t>MARIA ALICE DE ALMEIDA PINTO</t>
  </si>
  <si>
    <t>MARIA ALYCE JAPYASSU TOMÉ</t>
  </si>
  <si>
    <t>MARIA CAMILLA FERNANDES BORGES</t>
  </si>
  <si>
    <t>9.16</t>
  </si>
  <si>
    <t>MARIA CAROLINNE DE SOUZA COSTA</t>
  </si>
  <si>
    <t>MARIA CECÍLIA YOKOYAMA LANDIM</t>
  </si>
  <si>
    <t>8.56</t>
  </si>
  <si>
    <t>MARIA CLARA ANTUNES BASTOS FREITAS</t>
  </si>
  <si>
    <t>MARIA CLARA ARAÚJO LINS</t>
  </si>
  <si>
    <t>MARIA CLARA DE LUCENA FREIRE</t>
  </si>
  <si>
    <t>MARIA CLARA FRANCO DE MEDEIROS</t>
  </si>
  <si>
    <t>MARIA CLARA GALVÃO DE LIMA</t>
  </si>
  <si>
    <t>MARIA CLARA RUFINO DE SÁ SANTOS</t>
  </si>
  <si>
    <t>8.17</t>
  </si>
  <si>
    <t>MARIA CLARA SILVA PEDRO</t>
  </si>
  <si>
    <t>MARIA EDILIANE DANTAS FIGUEIREDO</t>
  </si>
  <si>
    <t>MARIA EDUARDA BARBOSA FREIRE</t>
  </si>
  <si>
    <t>MARIA EDUARDA DA COSTA SABINO</t>
  </si>
  <si>
    <t>MARIA EDUARDA DE ALUSTAU BELARMINO</t>
  </si>
  <si>
    <t>MARIA EDUARDA DE LIMA</t>
  </si>
  <si>
    <t>MARIA EDUARDA DELFINO FREIRE</t>
  </si>
  <si>
    <t>MARIA EDUARDA DONATO MENESES MENDES</t>
  </si>
  <si>
    <t>MARIA EDUARDA FERREIRA LEITE</t>
  </si>
  <si>
    <t>MARIA EDUARDA MANGUEIRA GOMES LOPES BARROS</t>
  </si>
  <si>
    <t>MARIA EDUARDA SALES FREIRE</t>
  </si>
  <si>
    <t>9.03</t>
  </si>
  <si>
    <t>MARIA EDUARDA SILVA DE AGUIAR</t>
  </si>
  <si>
    <t>8.99</t>
  </si>
  <si>
    <t>MARIA EDUARDA TOSCANO DOS SANTOS</t>
  </si>
  <si>
    <t>MARIA EDUARDA VIANA DE PAIVA</t>
  </si>
  <si>
    <t>MARIA EDWARDA VALDEVINO BEZERRA MARTINS</t>
  </si>
  <si>
    <t>MARIA ELOISA HENRIQUES BRASILINO FERREIRA</t>
  </si>
  <si>
    <t>MARIA EMANUELE TEOTÔNIO ALMEIDA RAMOS</t>
  </si>
  <si>
    <t>7.90</t>
  </si>
  <si>
    <t>MARIA FABIANA BEZERRA</t>
  </si>
  <si>
    <t>8.32</t>
  </si>
  <si>
    <t>MARIA FERNANDA DANTAS MESQUITA DE FARIA</t>
  </si>
  <si>
    <t>MARIA FERNANDA EGITO CARVALHO DE LUCENA</t>
  </si>
  <si>
    <t>MARIA HELOÍSA SOARES MARQUES</t>
  </si>
  <si>
    <t>MARIA ISABEL CARDOSO DO Ó</t>
  </si>
  <si>
    <t>MARIA ISABEL MENEZES DE MENDONÇA</t>
  </si>
  <si>
    <t>MARIA LAYZA FERNANDES DA SILVA</t>
  </si>
  <si>
    <t>MARIA LUISA OLINTO BIDÔ DA COSTA</t>
  </si>
  <si>
    <t>MARIA LUIZA BORBA DE MACEDO SILVA</t>
  </si>
  <si>
    <t>MARIA LUIZA SOARES BEZERRA</t>
  </si>
  <si>
    <t>MARIA PATRÍCIA DE MEDEIROS</t>
  </si>
  <si>
    <t>MARIA VITORIA CAVALCANTE DE SOUSA</t>
  </si>
  <si>
    <t>MARIAH TEIXEIRA DE CARVALHO MEDEIROS</t>
  </si>
  <si>
    <t>7.52</t>
  </si>
  <si>
    <t>MARIALVO LAUREANO DOS SANTOS NETO</t>
  </si>
  <si>
    <t>9.26</t>
  </si>
  <si>
    <t>MARIANA CABRAL DE LIMA</t>
  </si>
  <si>
    <t>MARIANA MEDEIROS DA NÓBREGA</t>
  </si>
  <si>
    <t>MARIANA MELLO DE FARIAS</t>
  </si>
  <si>
    <t>MARIANA NUNES BARROS</t>
  </si>
  <si>
    <t>MARIANA REGIS ANDRADE ALMEIDA</t>
  </si>
  <si>
    <t>8.08</t>
  </si>
  <si>
    <t>MARIANE FERNANDES GOMES</t>
  </si>
  <si>
    <t>MARIANNA CARNEIRO FONSECA</t>
  </si>
  <si>
    <t>MARIANNA MELO GUERRA DA ROCHA</t>
  </si>
  <si>
    <t>MARIANNE ADELINA SEIXAS DE FRANÇA LAVÔR</t>
  </si>
  <si>
    <t>MARÍLIA CAROLINE SÁ DE SOUZA</t>
  </si>
  <si>
    <t>MARILIA PEREIRA DE MEDEIROS ALVES</t>
  </si>
  <si>
    <t>9.23</t>
  </si>
  <si>
    <t>MARILY PINHEIRO MAIA SERAFIM</t>
  </si>
  <si>
    <t>MARINA TARGINO DE LUCENA CABRAL</t>
  </si>
  <si>
    <t>MARTA ELVIRA COSTA MARQUES</t>
  </si>
  <si>
    <t>7.54</t>
  </si>
  <si>
    <t>MARTA MORENAS ROLDAN</t>
  </si>
  <si>
    <t>MARTA RÉGIS GOMES DE ANDRADE</t>
  </si>
  <si>
    <t>MATEUS EDUARDO FÉLIX BERNARDO DE FARIAS</t>
  </si>
  <si>
    <t>MATEUS FARIAS FRANCA</t>
  </si>
  <si>
    <t>7.93</t>
  </si>
  <si>
    <t>MATHEUS ANTONIO LEITE CASSIMIRO</t>
  </si>
  <si>
    <t>MATHEUS CÉSAR RIBEIRO</t>
  </si>
  <si>
    <t>MATHEUS VICTOR BENJAMIM LOPES</t>
  </si>
  <si>
    <t>MATTEUS IGOR LOPES AIRES</t>
  </si>
  <si>
    <t>MIRELLA MACIEL VIDERES DE BRITO</t>
  </si>
  <si>
    <t>MIRELLE FRANCE SILVA DE ANDRADE</t>
  </si>
  <si>
    <t>MOISÉS GALDINO BARROS</t>
  </si>
  <si>
    <t>MYLLANY VITÓRIA MATEUS FREITAS</t>
  </si>
  <si>
    <t>NAFTALY ANGÉLICA LOPES DE SOUZA</t>
  </si>
  <si>
    <t>NATHALIA FRANCA FALCÃO BATISTA DANTAS</t>
  </si>
  <si>
    <t>NATHALIA JANIELLY ASSUNCAO CUNHA</t>
  </si>
  <si>
    <t>NAYANNE MEDEIROS NÓBREGA</t>
  </si>
  <si>
    <t>NAYARA TOSCANO DE BRITO PEREIRA</t>
  </si>
  <si>
    <t>NEWSARA RAMALHO AMORIM</t>
  </si>
  <si>
    <t>NICOLAS RENAN AVELINO MARIZ</t>
  </si>
  <si>
    <t>NILTON DE ALMEIDA FILHO</t>
  </si>
  <si>
    <t>8.50</t>
  </si>
  <si>
    <t>ORLANDO XAVIER DA SILVA NETO</t>
  </si>
  <si>
    <t>PÂMELA BASTOS DOMINGUEZ FEIJOÓ</t>
  </si>
  <si>
    <t>8.11</t>
  </si>
  <si>
    <t>PAOLLA MARIA DA SILVA MARTINS</t>
  </si>
  <si>
    <t>PATRÍCIA GIULIANNA PETRAGLIA SASSI</t>
  </si>
  <si>
    <t>PAULA BEATRIZ PONTES OLIVEIRA</t>
  </si>
  <si>
    <t>PAULA FRASSINETTI PEREIRA COSTA</t>
  </si>
  <si>
    <t>8.33</t>
  </si>
  <si>
    <t>PAULO HENRIQUE TOMAZ CONSTANTINO</t>
  </si>
  <si>
    <t>PAULO JOSE CARNEIRO FARIAS</t>
  </si>
  <si>
    <t>PAULO VICTOR DE SOUSA GONÇALVES</t>
  </si>
  <si>
    <t>PEDRO AUGUSTO DE LIMA BARROSO</t>
  </si>
  <si>
    <t>PEDRO BARRETO PIRES BEZERRA FILHO</t>
  </si>
  <si>
    <t>POLLYANNA NOGUEIRA TIBURTINO</t>
  </si>
  <si>
    <t>PRISCILLA DA COSTA MACHADO</t>
  </si>
  <si>
    <t>QUECIA LEITE BRASIL</t>
  </si>
  <si>
    <t>RACHEL FRANCA FALCÃO DANTAS VELÔSO</t>
  </si>
  <si>
    <t>RADIF ALBINO TORREÃO MOTA</t>
  </si>
  <si>
    <t>RAFAEL ANGELUS DE LUNA VASCONCELOS</t>
  </si>
  <si>
    <t>RAFAEL FURTADO COSTA TRAJANO</t>
  </si>
  <si>
    <t>RAFAELA ANTUNES ARANTES</t>
  </si>
  <si>
    <t>RAFAELA CUNHA LIMA MONTEROS</t>
  </si>
  <si>
    <t>8.16</t>
  </si>
  <si>
    <t>RAFAELA DE LUCENA ANDRADE</t>
  </si>
  <si>
    <t>RAFAELLA QUEIROGA SOUTO</t>
  </si>
  <si>
    <t>RAÍ CHAVES BANDEIRA</t>
  </si>
  <si>
    <t>RAIANE MAGDA HERCULANO FORMIGA DE FREITAS</t>
  </si>
  <si>
    <t>RAIMUNDO SALES OLIVEIRA E SILVA</t>
  </si>
  <si>
    <t>RAISSA DE OLIVEIRA PAZ</t>
  </si>
  <si>
    <t>RAMON KELVIN BESERRA DE BRITO</t>
  </si>
  <si>
    <t>7.46</t>
  </si>
  <si>
    <t>RANYELLA RAÍSSA ARAÚJO VERÍSSIMO</t>
  </si>
  <si>
    <t>7.82</t>
  </si>
  <si>
    <t>RAPHAEL BASTOS PALITOT DE BRITO</t>
  </si>
  <si>
    <t>RAYANNA WANESSA GUIMARAES COELHO</t>
  </si>
  <si>
    <t>8.68</t>
  </si>
  <si>
    <t>RAYSSA GABRIELLY BANDEIRA RIBEIRO</t>
  </si>
  <si>
    <t>REBECA MAURÍCIO CARNEIRO DA SILVA</t>
  </si>
  <si>
    <t>REBECA SOUZA MEIRA DE MOURA</t>
  </si>
  <si>
    <t>REJANE SAIONARA DOS SANTOS TAVARES</t>
  </si>
  <si>
    <t>RENAN DE VASCONCELOS NEVES FILHO</t>
  </si>
  <si>
    <t>RENATA ALOÍDE NUNES RODRIGUES MARQUES</t>
  </si>
  <si>
    <t>RENATA TOSCANO DE MEDEIROS</t>
  </si>
  <si>
    <t>RICARDO TEIXEIRA MARTINS</t>
  </si>
  <si>
    <t>RITA DE CÁSSIA ARANHA DA SILVA</t>
  </si>
  <si>
    <t>RITA DE CASSIA SOARES DE PAULA CUNHA</t>
  </si>
  <si>
    <t>RITA EMANUELLE PEDROSA TAVARES</t>
  </si>
  <si>
    <t>ROBSON JOSE MANGUEIRA BARROS</t>
  </si>
  <si>
    <t>RONIÉRISON MARINHO PAZ</t>
  </si>
  <si>
    <t>ROSSANA RABELO DE ARRUDA MIRANDA</t>
  </si>
  <si>
    <t>ROXANE DE LIMA ARAÚJO</t>
  </si>
  <si>
    <t>RUANNA RUTH DOS SANTOS HENRIQUES</t>
  </si>
  <si>
    <t>SABRINA COUTINHO DUARTE</t>
  </si>
  <si>
    <t>SABRINA DE SOUSA CARNEIRO</t>
  </si>
  <si>
    <t>SABRINA VILLANY DE LUCENA PEREIRA</t>
  </si>
  <si>
    <t>SALOMÃO CORDEIRO DE OLIVEIRA FILHO</t>
  </si>
  <si>
    <t>SAMI VILELA DOURADO MANGUEIRA CARVALHO</t>
  </si>
  <si>
    <t>SAMUEL DE OLIVEIRA LEMOS</t>
  </si>
  <si>
    <t>SARAH GEOVANNA DE ALMEIDA BRAGA</t>
  </si>
  <si>
    <t>SARAH MARIA MAIA RODRIGUES DE CARVALHO HOLANDA AZEVÊDO</t>
  </si>
  <si>
    <t>SÁVIO FRANCISCO PEREIRA DE VASCONCELOS MORAIS</t>
  </si>
  <si>
    <t>SHEILA MARIA PEREIRA DE MOURA</t>
  </si>
  <si>
    <t>SHEYLA RODRIGUES DE RESENDE</t>
  </si>
  <si>
    <t>SOPHIA CHRIS DE SOUSA NADER</t>
  </si>
  <si>
    <t>SOPHIA DE BASTOS PEDRA</t>
  </si>
  <si>
    <t>SOPHIA FURTADO DE CARVALHO FEITOSA</t>
  </si>
  <si>
    <t>SUIANY LARA FERNANDES BEZERRA</t>
  </si>
  <si>
    <t>SUSANA COSTA NUNES</t>
  </si>
  <si>
    <t>SUZANE BELÉM SAMPAIO</t>
  </si>
  <si>
    <t>TAIZE TRINDADE DA SILVA</t>
  </si>
  <si>
    <t>TAYANE YSLA MEDEIROS GOMES</t>
  </si>
  <si>
    <t>TAYNA COELHO SIMÕES</t>
  </si>
  <si>
    <t>TERCIO DE OLIVEIRA RAMOS</t>
  </si>
  <si>
    <t>THAÍS BRASILINO</t>
  </si>
  <si>
    <t>THAISE SILVA AMORIM</t>
  </si>
  <si>
    <t>8.83</t>
  </si>
  <si>
    <t>THALYS MAYNNARD COSTA FERREIRA</t>
  </si>
  <si>
    <t>THAYNÁ BRAGA BORGES</t>
  </si>
  <si>
    <t>THIAGO DA ROCHA NOGUEIRA FLORENTINO</t>
  </si>
  <si>
    <t>THIAGO FERREIRA SANTOS</t>
  </si>
  <si>
    <t>THIEGO DAMÁSIO BANDEIRA BERNAOLA</t>
  </si>
  <si>
    <t>8.38</t>
  </si>
  <si>
    <t>TIAGO DE SOUZA BIDO</t>
  </si>
  <si>
    <t>8.85</t>
  </si>
  <si>
    <t>TIAGO MUNIZ DE ANDRADE</t>
  </si>
  <si>
    <t>TIAGO OLIVEIRA DE ALBUQUERQUE</t>
  </si>
  <si>
    <t>TIBÉRIO TEIXEIRA DE LIMA</t>
  </si>
  <si>
    <t>VALDIZIA LÍGIA NUNES ALBUQUERQUE</t>
  </si>
  <si>
    <t>8.77</t>
  </si>
  <si>
    <t>VALESKA MEDEIROS DE ANDRADE</t>
  </si>
  <si>
    <t>VALKELLY GOMES BENÍCIO DE SA</t>
  </si>
  <si>
    <t>VANESSA BEZERRA CAVALCANTI LYRA</t>
  </si>
  <si>
    <t>9.08</t>
  </si>
  <si>
    <t>VANESSA LACERDA PESSOA</t>
  </si>
  <si>
    <t>VICTOR CAMELO VILAR DE SÁ HEIM</t>
  </si>
  <si>
    <t>9.34</t>
  </si>
  <si>
    <t>VICTOR HUGO FRANCELINO DA SILVA</t>
  </si>
  <si>
    <t>VICTOR MARTINS HENRIQUE</t>
  </si>
  <si>
    <t>VICTOR TADEU NUNES DE VASCONCELOS</t>
  </si>
  <si>
    <t>7.97</t>
  </si>
  <si>
    <t>VICTÓRIA KARLA MARTINS TRIGUEIRO</t>
  </si>
  <si>
    <t>VICTÓRIA MARIA RIBEIRO MATIAS</t>
  </si>
  <si>
    <t>8.67</t>
  </si>
  <si>
    <t>VINÍCIUS ALBUQUERQUE DE MATOS BARBOSA</t>
  </si>
  <si>
    <t>VINÓLIA REGINA FEITOSA DA SILVA</t>
  </si>
  <si>
    <t>VITOR DA NÓBREGA MEDEIROS</t>
  </si>
  <si>
    <t>VITTORIA MARIA BIONE FERREIRA POLARI</t>
  </si>
  <si>
    <t>VIVIANE TAVARES BEZERRA NÓBREGA</t>
  </si>
  <si>
    <t>WALDOMIRO MEDEIROS BARBOSA JUNIOR</t>
  </si>
  <si>
    <t>WEVLLY FERREIRA DE SOUSA</t>
  </si>
  <si>
    <t>WHALLAS DA SILVA COUTINHO</t>
  </si>
  <si>
    <t>YASMIM KETLLY DIAS ARAUJO</t>
  </si>
  <si>
    <t>7.43</t>
  </si>
  <si>
    <t>YASMIN LUNDGREN CORDEIRO</t>
  </si>
  <si>
    <t>YVINNY SILVA CAMPOS</t>
  </si>
  <si>
    <t>cicero</t>
  </si>
  <si>
    <t>AÇÕES EM ANDAMENTO NA MEDICINA</t>
  </si>
  <si>
    <t>AÇÃO</t>
  </si>
  <si>
    <t>CRIAÇÃO DE PLANILHA MATRIZ COM TODOS OS RESULTADOS DA VIDA ACADÊMICA DO ALUNO</t>
  </si>
  <si>
    <t>EM ANDAMENTO</t>
  </si>
  <si>
    <t>REUNIÃO COM COORDENADORES DE COMPONENTES MEDICINA PARA ALINHAR O REFORÇO NOS RODÍZIOS</t>
  </si>
  <si>
    <t>REALIZADO</t>
  </si>
  <si>
    <t>INSTITUCIONALIZAÇÃO DAS PROVAS  PRÉ E PÓS INTERNATO  - APLICADO PELOS SUPERVISORES DE ÁREAS</t>
  </si>
  <si>
    <t>EM PEDIATRIA - FOI DESIGNADO UM PRECEPTOR PARA SUPORTE ACADÊMICO. NO P9, APLICAÇÃO DE 40 QUESTÕES PRÉ TESTES E PARA P1 APLICAÇÃO DE PROVA 40 QUESTÕES ONLINE.</t>
  </si>
  <si>
    <t>?</t>
  </si>
  <si>
    <t>INTRODUÇÃO DAS RESOLUÇÕES DE QUESTÃO EM TODAS AS COMPONENTES P9 E P11 -  TODAS AS TERÇAS A NOITE.  A PRESENÇA NA AULA É SOMATIVO</t>
  </si>
  <si>
    <t>REUNIÃO COM UNIVERSIDADE POSITIVO  - TERÇA 28/04 AS 17:00 HS ONLINE PARA AJUSTES DE IDÉIAS MATRIZ 9D</t>
  </si>
  <si>
    <t>PERFIL DOB EGRESSO PARA  9 D - NDE</t>
  </si>
  <si>
    <t>NOS COMPONENTES DA GRADUAÇÃO - INSERÇÃO DE CASOS CLÍNICOS EM TODAS AS AULAS, COM INCLUSÃO DAS BIBLIOGRAFIAS DO SUS EM TODAS AS COMPONENTES.</t>
  </si>
  <si>
    <t>DISPARO DA AVALIAÇÃO PSICOPEDAGÓGICA PELO PROAP PARA TODOS OS ALUNOS</t>
  </si>
  <si>
    <t>AGENDAMENTO INICIAL DOS ALUNOS ONE A ONE  E POR GRUPOS DE ATENÇÃO</t>
  </si>
  <si>
    <t>CRIAÇÃO DOS GRUPOS FOCAIS COM OS ALUNOS</t>
  </si>
  <si>
    <t>ELABORAÇÃO DE QUESTÕES PEDIATRIA SEMANAIS</t>
  </si>
  <si>
    <t>SISTEMATIZAÇÃO, POR COORDENAÇÃO DE ÁREA DAS FRAGILIDADES ENCONTRADAS NO RODÍZIO</t>
  </si>
  <si>
    <t>AULAS FOCADAS NAS FRAGILIDADES DOS RODÍZIOS</t>
  </si>
  <si>
    <t>ROTEIRO DE ESTUDOS COM MAPA MENTAL ANTES DAS AULAS</t>
  </si>
  <si>
    <t>DESCARTADO</t>
  </si>
  <si>
    <t>GINCANA DE MAPAS MENTAIS - CRIAÇÃO COM SUPERVISÃO</t>
  </si>
  <si>
    <t>ESQUENTA - SAPIENS MED - OFICINA DE ENCOMENDA DE PROVA INTEGRADA DIAS 05 E 07/05/2026</t>
  </si>
  <si>
    <t>AÇÃO DE  ENGAJAMENTO DISCENTE  - DEVOLUTIVA  DO RESULTADO SIMULADO</t>
  </si>
  <si>
    <t>REALIZADO - 149 PRESENTES</t>
  </si>
  <si>
    <t>CRIAÇÃO DE COMISSÃO DE QUALIDADE ACADÊMICA - NAPED E NDE.</t>
  </si>
  <si>
    <t xml:space="preserve">LIBERAÇÃO DO QUESTIONARIO DE PERCEPÇÃO DE ESTUDOS. NECESSIDADE AINDA DE INTENSIFICAR O ACESSO  PARA PREENCHIMENTO. </t>
  </si>
  <si>
    <t>REALIZAÇÃO DA OFICINA PREPARTÓRIA DE PROVA INTEGRADA I</t>
  </si>
  <si>
    <t>REALIZAÇÃO DA OFICINA PREPARTÓRIA DE PROVA INTEGRADA II</t>
  </si>
  <si>
    <t>PLANTÃO SEMANAL PARA REALIZAÇÃO DE PROVA INTEGRADA</t>
  </si>
  <si>
    <t>GINCANA DE ECOCARDIOGRAMA</t>
  </si>
  <si>
    <t>REALIZADO - EM ANDDAMENTO</t>
  </si>
  <si>
    <t>MAPAS MENTAIS - CONCURSO</t>
  </si>
  <si>
    <t>REUNIÃO ENAMED - 149 PRESENTES</t>
  </si>
  <si>
    <t>ENCERRADO</t>
  </si>
  <si>
    <t>OFICINA DE CONSTRUÇÇAO DA MATRIZ 9D - MEDICINA</t>
  </si>
  <si>
    <t>REALIZADA</t>
  </si>
  <si>
    <t>CONSTRUÇÃO DO MANUAL PARA ELABORAÇÃO DE MATRIZ 9D</t>
  </si>
  <si>
    <t>REALIZAÇAO MEDINOVA</t>
  </si>
  <si>
    <t>SIMULADO 1</t>
  </si>
  <si>
    <t>SIMULADO 2</t>
  </si>
  <si>
    <t>SIMULADO 3</t>
  </si>
  <si>
    <t>REALIZAÇAO DE PROVA INTEGRADA</t>
  </si>
  <si>
    <t>SITUAÇÕES</t>
  </si>
  <si>
    <t>CADERNO DE PROVAS</t>
  </si>
  <si>
    <t>DATA DE PROVA</t>
  </si>
  <si>
    <t>FEEDBACKS DAS NOTAS</t>
  </si>
  <si>
    <t>QUESTIONÁRIO DO ESTUDANTE</t>
  </si>
  <si>
    <t>REUNIÃO 4 ANO</t>
  </si>
  <si>
    <t xml:space="preserve">AÇÕES DE ENGAJAMENTO </t>
  </si>
  <si>
    <t>11% - SIM   -   NÃO%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</si>
</sst>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&quot;.&quot;000&quot;.&quot;000&quot;-&quot;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rgb="FFFF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5" borderId="1" xfId="0" applyFill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8" borderId="1" xfId="0" applyFill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2" fontId="0" fillId="4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left"/>
    </xf>
    <xf numFmtId="2" fontId="0" fillId="4" borderId="8" xfId="0" applyNumberFormat="1" applyFill="1" applyBorder="1" applyAlignment="1">
      <alignment horizontal="left"/>
    </xf>
    <xf numFmtId="2" fontId="0" fillId="0" borderId="9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8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2" xfId="0" applyNumberFormat="1" applyBorder="1" applyAlignment="1">
      <alignment horizontal="left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9" fillId="3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0" fillId="4" borderId="11" xfId="0" applyFill="1" applyBorder="1"/>
    <xf numFmtId="0" fontId="9" fillId="4" borderId="1" xfId="0" applyFont="1" applyFill="1" applyBorder="1" applyAlignment="1">
      <alignment horizontal="right" wrapText="1"/>
    </xf>
    <xf numFmtId="0" fontId="9" fillId="5" borderId="1" xfId="0" applyFont="1" applyFill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9" fontId="1" fillId="0" borderId="1" xfId="0" applyNumberFormat="1" applyFont="1" applyBorder="1" applyAlignment="1">
      <alignment horizontal="left" vertical="center"/>
    </xf>
    <xf numFmtId="0" fontId="9" fillId="9" borderId="1" xfId="0" applyFont="1" applyFill="1" applyBorder="1"/>
    <xf numFmtId="0" fontId="1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80"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alignment horizontal="left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000&quot;.&quot;000&quot;.&quot;000&quot;-&quot;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000&quot;.&quot;000&quot;.&quot;000&quot;-&quot;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/>
    </dxf>
    <dxf>
      <font>
        <b val="0"/>
        <color rgb="FF000000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gradientFill degree="90">
          <stop position="0">
            <color rgb="FFCCCCCC"/>
          </stop>
          <stop position="1">
            <color rgb="FFCCCCCC"/>
          </stop>
        </gradient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gradientFill degree="90">
          <stop position="0">
            <color rgb="FFCCCCCC" tint="0.83999145481734672"/>
          </stop>
          <stop position="1">
            <color rgb="FFCCCCCC" tint="0.83999145481734672"/>
          </stop>
        </gradient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theme="0"/>
      </font>
      <fill>
        <gradientFill degree="90">
          <stop position="0">
            <color rgb="FFCCCCCC"/>
          </stop>
          <stop position="1">
            <color rgb="FFCCCCCC"/>
          </stop>
        </gradientFill>
      </fill>
    </dxf>
    <dxf>
      <font>
        <color theme="1"/>
      </font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horizontal style="thin">
          <color rgb="FFCCCCCC"/>
        </horizontal>
      </border>
    </dxf>
  </dxfs>
  <tableStyles count="1" defaultTableStyle="TableStyleMedium2" defaultPivotStyle="PivotStyleLight16">
    <tableStyle name="CustomTableStyle" pivot="0" count="8" xr9:uid="{386ED3C6-9039-403B-9574-C3BEFC4151FF}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firstRowStripe" dxfId="74"/>
      <tableStyleElement type="firstColumnStripe" dxfId="73"/>
      <tableStyleElement type="firstHeaderCell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63500</xdr:rowOff>
    </xdr:from>
    <xdr:to>
      <xdr:col>7</xdr:col>
      <xdr:colOff>666750</xdr:colOff>
      <xdr:row>1</xdr:row>
      <xdr:rowOff>209550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4286C1-6C1E-EA5D-5ED2-816F56968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524000" cy="469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B9AA1-B6C3-4C50-8E84-6CA022186202}" name="Tabela1" displayName="Tabela1" ref="A3:BO478" totalsRowShown="0" headerRowDxfId="71" dataDxfId="70" headerRowBorderDxfId="68" tableBorderDxfId="69" totalsRowBorderDxfId="67">
  <autoFilter ref="A3:BO478" xr:uid="{8AAB9AA1-B6C3-4C50-8E84-6CA022186202}">
    <filterColumn colId="12">
      <filters>
        <filter val="25"/>
        <filter val="27"/>
        <filter val="28"/>
        <filter val="29"/>
        <filter val="30"/>
        <filter val="33"/>
        <filter val="34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8"/>
        <filter val="69"/>
        <filter val="70"/>
        <filter val="71"/>
        <filter val="72"/>
      </filters>
    </filterColumn>
  </autoFilter>
  <tableColumns count="67">
    <tableColumn id="1" xr3:uid="{556EC3B9-AFA0-4823-807C-5AC58D797D5C}" name="NOM_FILI" dataDxfId="66"/>
    <tableColumn id="2" xr3:uid="{2E08DF7C-D31F-4557-B5BB-C3958E69626C}" name="RGM_ALUN" dataDxfId="65"/>
    <tableColumn id="26" xr3:uid="{2F35D945-C90F-427C-89BD-E4405FD56A6B}" name="TURNO" dataDxfId="64"/>
    <tableColumn id="31" xr3:uid="{6D97A85F-41B8-475B-BC39-4330387DD8BB}" name="DESCR_SIT_MATR" dataDxfId="63"/>
    <tableColumn id="5" xr3:uid="{3B05B3CD-B5E6-4BAA-A2A9-26B8E64EDB5F}" name="CPF_ALUN" dataDxfId="62"/>
    <tableColumn id="25" xr3:uid="{038284D0-996E-4128-BE6F-59E6221CD439}" name="TURMA" dataDxfId="61"/>
    <tableColumn id="24" xr3:uid="{CCE4BAE8-3D28-4BBF-B539-ACD16FAD77D3}" name="SERIE" dataDxfId="60"/>
    <tableColumn id="3" xr3:uid="{BFB947ED-F748-4E29-82DB-F4180028F784}" name="NOME" dataDxfId="59"/>
    <tableColumn id="59" xr3:uid="{0AF0293B-D1AF-474F-AB43-62EDD648F755}" name="STATUS DE AÇÃO" dataDxfId="58"/>
    <tableColumn id="67" xr3:uid="{66517B51-3E39-4F82-AA68-FE8805A4155F}" name="ENAMEDISTA 2026  SIM OU NÃO" dataDxfId="57"/>
    <tableColumn id="57" xr3:uid="{9EF84923-C328-4D67-A632-D7904EED2CE8}" name="CRE" dataDxfId="56"/>
    <tableColumn id="58" xr3:uid="{9A96078C-DB4E-48BC-A942-3B874543BEE3}" name="SIMULADO 1 - NOTA" dataDxfId="55"/>
    <tableColumn id="68" xr3:uid="{6F0495D9-C368-4848-93D6-91126870B411}" name="SIMULADO 2 NOTA" dataDxfId="54"/>
    <tableColumn id="61" xr3:uid="{DF368FB4-0EAF-4977-B4BF-6FC418BC1782}" name="DIFERENÇA" dataDxfId="53">
      <calculatedColumnFormula>(Tabela1[[#This Row],[SIMULADO 2 NOTA]]-Tabela1[[#This Row],[SIMULADO 1 - NOTA]])</calculatedColumnFormula>
    </tableColumn>
    <tableColumn id="69" xr3:uid="{18A7997E-BD75-4BAB-9469-70622355E3EF}" name="ÁREA - CIR - ACERTOS" dataDxfId="52"/>
    <tableColumn id="70" xr3:uid="{0B465EF1-95EA-4D80-8427-CB7D53A4DB7E}" name="ÁREA - CM - ACERTOS" dataDxfId="51"/>
    <tableColumn id="71" xr3:uid="{2C74B3D5-CBF4-4BA5-81DE-2A7F5A628B15}" name="ÁREA - GO - ACERTOS" dataDxfId="50"/>
    <tableColumn id="72" xr3:uid="{2F11ECA8-0034-4488-9304-EAA33968627F}" name="ÁREA - PED - ACERTOS" dataDxfId="49"/>
    <tableColumn id="62" xr3:uid="{4584FCF0-C91E-47B9-9DED-C2A845544870}" name="ÁREA - MFC / PREV - ACERTOS" dataDxfId="48"/>
    <tableColumn id="36" xr3:uid="{CB231374-A41E-45E8-B76F-4C9D1AC8D18F}" name="TCC II" dataDxfId="47"/>
    <tableColumn id="56" xr3:uid="{61EC72A0-A046-4299-BD97-0FBED5F70811}" name="TCC I" dataDxfId="46"/>
    <tableColumn id="11" xr3:uid="{36FAD718-34C3-4E82-9291-03732DD167FB}" name="Optativa" dataDxfId="45"/>
    <tableColumn id="4" xr3:uid="{3D0D3D32-7093-44DD-B17D-489057F70628}" name="PONC" dataDxfId="44"/>
    <tableColumn id="6" xr3:uid="{B40265C0-D195-46E6-B2E7-07613C95E977}" name="SHRD" dataDxfId="43"/>
    <tableColumn id="7" xr3:uid="{742B5D77-0A22-404A-AB1C-25166FE28B05}" name="SD" dataDxfId="42"/>
    <tableColumn id="8" xr3:uid="{342C21C1-7F4B-4D52-84AE-F7B88D2F29AD}" name="FCH" dataDxfId="41"/>
    <tableColumn id="9" xr3:uid="{EA04E618-2BF0-48A9-91EF-17D75D15D076}" name="CNM" dataDxfId="40"/>
    <tableColumn id="10" xr3:uid="{9DB71FD9-3ECA-44CA-B588-FF457D16F71C}" name="Farmaco I" dataDxfId="39"/>
    <tableColumn id="12" xr3:uid="{91E65D0C-4241-4B06-87BB-9F70BFE6822B}" name="ITI EXT IV" dataDxfId="38"/>
    <tableColumn id="14" xr3:uid="{3F113706-A933-4EFD-9A4B-C1AC7B8CE1FB}" name="APSC V" dataDxfId="37"/>
    <tableColumn id="15" xr3:uid="{33B52210-DC15-41E5-BF41-DBAC181B75C4}" name="IMAGINOLOGIA" dataDxfId="36"/>
    <tableColumn id="13" xr3:uid="{153CF0FB-D9C3-4731-8A25-9C08003D9995}" name="APSC VI" dataDxfId="35"/>
    <tableColumn id="17" xr3:uid="{EC980E98-4F36-42BA-BF0E-7EE9239783DA}" name="Pneumologia" dataDxfId="34"/>
    <tableColumn id="16" xr3:uid="{862FB5E7-FFDC-4068-BA2D-35A6A83CAA70}" name="URG EMR" dataDxfId="33"/>
    <tableColumn id="18" xr3:uid="{438D7384-DF1B-4035-89B3-728545A068DD}" name="MSS I" dataDxfId="32"/>
    <tableColumn id="19" xr3:uid="{38B9F62A-5F6C-4EF8-9E8C-BD1E0C5D92E8}" name="APSC IV" dataDxfId="31"/>
    <tableColumn id="20" xr3:uid="{6F783B4A-64BE-45F9-8925-1E040E5E9B25}" name="MAPD II" dataDxfId="30"/>
    <tableColumn id="21" xr3:uid="{CA9D0BA1-E592-430A-B1C2-F309DF54AC46}" name="SEMIO II" dataDxfId="29"/>
    <tableColumn id="22" xr3:uid="{4602DD4A-2613-43E0-B430-C3C6781CCDFC}" name="SAV II" dataDxfId="28"/>
    <tableColumn id="23" xr3:uid="{97BFBA75-BB2F-4223-A80D-34741E961E9C}" name="MPCCI II" dataDxfId="27"/>
    <tableColumn id="27" xr3:uid="{7F0B316B-DFAA-47B4-B863-26829F46332A}" name="MSS II" dataDxfId="26"/>
    <tableColumn id="28" xr3:uid="{47D11582-7F9F-4839-8AA6-5A2CC98A563E}" name="ITI EXT I" dataDxfId="25"/>
    <tableColumn id="29" xr3:uid="{4D06EF18-3427-480E-AA9C-39A8C5D48E08}" name="ITI EXT II" dataDxfId="24"/>
    <tableColumn id="30" xr3:uid="{58F06271-C057-42F0-A0BB-924283831885}" name="ITI EXT III" dataDxfId="23"/>
    <tableColumn id="32" xr3:uid="{5CC57664-DACF-4970-A73B-55C24DA3B787}" name="BTCA II" dataDxfId="22"/>
    <tableColumn id="33" xr3:uid="{FE84242F-67AD-49D0-B626-45C052163203}" name="FARMACO II" dataDxfId="21"/>
    <tableColumn id="34" xr3:uid="{E24F2705-1BC4-46B3-9DEE-59287C2FC2CA}" name="ASMG I" dataDxfId="20"/>
    <tableColumn id="35" xr3:uid="{3D09B55A-CC39-4D0E-A5C9-59CFE8D8C23A}" name="ASMG II" dataDxfId="19"/>
    <tableColumn id="37" xr3:uid="{8F4F31BD-6B71-4F38-8767-4E5CDF2515F7}" name="CARDIOLOGIA" dataDxfId="18"/>
    <tableColumn id="38" xr3:uid="{0C05DEF9-1FB9-4E7A-A62F-267906F34F7D}" name="NEFRO" dataDxfId="17"/>
    <tableColumn id="39" xr3:uid="{1B28F417-2A97-4FD5-BA97-4253F6BB408E}" name="UROLOGIA" dataDxfId="16"/>
    <tableColumn id="40" xr3:uid="{88470946-7CF8-4810-985F-FF4A3EEA29DF}" name="DERMATO" dataDxfId="15"/>
    <tableColumn id="41" xr3:uid="{4FA52B89-9F3B-4E27-88EB-06A69F331A17}" name="ENDOCRINO" dataDxfId="14"/>
    <tableColumn id="42" xr3:uid="{14C9E465-69C2-408D-BE85-B8A17298BE8B}" name="GASTRO" dataDxfId="13"/>
    <tableColumn id="43" xr3:uid="{379FE2C6-AA1F-4295-A33B-1AD985FA8F3C}" name="INOV SAUDE" dataDxfId="12"/>
    <tableColumn id="44" xr3:uid="{736A420C-189A-48BD-B120-6C02AAF8F0A7}" name="ITI EXT V" dataDxfId="11"/>
    <tableColumn id="45" xr3:uid="{861257A5-D5A9-4DB7-8B40-AC92E2B15BD4}" name="PATOLOGIA" dataDxfId="10"/>
    <tableColumn id="46" xr3:uid="{B91EA255-B5C5-486B-A8DF-8A9BB05A608B}" name="APSC II" dataDxfId="9"/>
    <tableColumn id="47" xr3:uid="{2A935A81-733F-4254-BA3B-8C8E3462B092}" name="MED SAU SOC II" dataDxfId="8"/>
    <tableColumn id="48" xr3:uid="{00B6782C-B567-4BDD-A7A0-958D274060F3}" name="ECO - SAUDE MENTAL" dataDxfId="7"/>
    <tableColumn id="49" xr3:uid="{3DD75249-737D-4D14-BFBA-194E033AF77D}" name="ECO - URG EMERG" dataDxfId="6"/>
    <tableColumn id="50" xr3:uid="{B96A2523-4E60-43EE-A5F4-8B6BA900DA96}" name="ECO - GINECO E OBS" dataDxfId="5"/>
    <tableColumn id="51" xr3:uid="{4B456B01-37CE-451A-83C4-EAFD7DA7B09F}" name="ECO- PEDIAT" dataDxfId="4"/>
    <tableColumn id="52" xr3:uid="{24945373-411A-4055-9075-939556E399B7}" name="ECO - CLIN CIRUR" dataDxfId="3"/>
    <tableColumn id="53" xr3:uid="{95A1219F-41AC-4002-AEC9-FC46B9DFDD98}" name="ECO- CLIN MED" dataDxfId="2"/>
    <tableColumn id="54" xr3:uid="{90209319-2ED4-4DEE-91E2-8AF3A3A5B303}" name="ECO- SAUDE COLETIVA" dataDxfId="1"/>
    <tableColumn id="55" xr3:uid="{45AAF8F7-3A17-4A70-A405-4F97B14F75C1}" name="ECO-APS" dataDxfId="0"/>
  </tableColumns>
  <tableStyleInfo name="CustomTableStyle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BP483"/>
  <sheetViews>
    <sheetView workbookViewId="0">
      <pane ySplit="3" topLeftCell="G466" activePane="bottomLeft" state="frozen"/>
      <selection pane="bottomLeft" activeCell="G7" sqref="G7"/>
    </sheetView>
  </sheetViews>
  <sheetFormatPr defaultRowHeight="25.5" customHeight="1"/>
  <cols>
    <col min="1" max="1" width="19.7109375" hidden="1" customWidth="1"/>
    <col min="2" max="2" width="13.7109375" style="2" hidden="1" customWidth="1"/>
    <col min="3" max="3" width="9.7109375" style="2" hidden="1" customWidth="1"/>
    <col min="4" max="4" width="18.85546875" style="2" hidden="1" customWidth="1"/>
    <col min="5" max="5" width="23.5703125" style="1" hidden="1" customWidth="1"/>
    <col min="6" max="6" width="10" style="2" hidden="1" customWidth="1"/>
    <col min="7" max="7" width="12.85546875" style="2" customWidth="1"/>
    <col min="8" max="8" width="51.140625" customWidth="1"/>
    <col min="9" max="9" width="51.140625" style="38" customWidth="1"/>
    <col min="10" max="10" width="16.85546875" style="2" customWidth="1"/>
    <col min="11" max="11" width="12" style="62" customWidth="1"/>
    <col min="12" max="14" width="16.7109375" style="13" customWidth="1"/>
    <col min="15" max="19" width="16.7109375" style="13" hidden="1" customWidth="1"/>
    <col min="20" max="28" width="9.140625" customWidth="1"/>
    <col min="29" max="29" width="13.42578125" customWidth="1"/>
    <col min="30" max="45" width="9.140625" customWidth="1"/>
    <col min="16351" max="16351" width="51.140625" bestFit="1" customWidth="1"/>
    <col min="16352" max="16352" width="7.140625" bestFit="1" customWidth="1"/>
    <col min="16355" max="16355" width="12.42578125" bestFit="1" customWidth="1"/>
    <col min="16356" max="16356" width="225.140625" bestFit="1" customWidth="1"/>
    <col min="16357" max="16357" width="6.5703125" bestFit="1" customWidth="1"/>
  </cols>
  <sheetData>
    <row r="1" spans="1:68" ht="25.5" customHeight="1">
      <c r="C1"/>
      <c r="D1"/>
      <c r="E1"/>
      <c r="F1"/>
      <c r="K1" s="56"/>
    </row>
    <row r="2" spans="1:68" ht="25.5" customHeight="1">
      <c r="A2" s="19" t="s">
        <v>0</v>
      </c>
      <c r="B2" s="20"/>
      <c r="C2" s="19"/>
      <c r="D2" s="19"/>
      <c r="E2" s="19"/>
      <c r="F2" s="19"/>
      <c r="G2" s="20"/>
      <c r="H2" s="19"/>
      <c r="I2" s="39"/>
      <c r="J2" s="20"/>
      <c r="K2" s="20"/>
      <c r="L2" s="14"/>
      <c r="M2" s="14"/>
      <c r="N2" s="14"/>
      <c r="O2" s="14"/>
      <c r="P2" s="14"/>
      <c r="Q2" s="14"/>
      <c r="R2" s="14"/>
      <c r="S2" s="14"/>
      <c r="T2" s="94" t="s">
        <v>1</v>
      </c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</row>
    <row r="3" spans="1:68" s="21" customFormat="1" ht="25.5" customHeight="1">
      <c r="A3" s="31" t="s">
        <v>2</v>
      </c>
      <c r="B3" s="24" t="s">
        <v>3</v>
      </c>
      <c r="C3" s="24" t="s">
        <v>4</v>
      </c>
      <c r="D3" s="24" t="s">
        <v>5</v>
      </c>
      <c r="E3" s="27" t="s">
        <v>6</v>
      </c>
      <c r="F3" s="24" t="s">
        <v>7</v>
      </c>
      <c r="G3" s="25" t="s">
        <v>8</v>
      </c>
      <c r="H3" s="24" t="s">
        <v>9</v>
      </c>
      <c r="I3" s="24" t="s">
        <v>10</v>
      </c>
      <c r="J3" s="25" t="s">
        <v>11</v>
      </c>
      <c r="K3" s="25" t="s">
        <v>12</v>
      </c>
      <c r="L3" s="74" t="s">
        <v>13</v>
      </c>
      <c r="M3" s="80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4" t="s">
        <v>21</v>
      </c>
      <c r="U3" s="24" t="s">
        <v>22</v>
      </c>
      <c r="V3" s="24" t="s">
        <v>23</v>
      </c>
      <c r="W3" s="24" t="s">
        <v>24</v>
      </c>
      <c r="X3" s="24" t="s">
        <v>25</v>
      </c>
      <c r="Y3" s="24" t="s">
        <v>26</v>
      </c>
      <c r="Z3" s="24" t="s">
        <v>27</v>
      </c>
      <c r="AA3" s="24" t="s">
        <v>28</v>
      </c>
      <c r="AB3" s="24" t="s">
        <v>29</v>
      </c>
      <c r="AC3" s="24" t="s">
        <v>30</v>
      </c>
      <c r="AD3" s="24" t="s">
        <v>31</v>
      </c>
      <c r="AE3" s="24" t="s">
        <v>32</v>
      </c>
      <c r="AF3" s="24" t="s">
        <v>33</v>
      </c>
      <c r="AG3" s="24" t="s">
        <v>34</v>
      </c>
      <c r="AH3" s="24" t="s">
        <v>35</v>
      </c>
      <c r="AI3" s="24" t="s">
        <v>36</v>
      </c>
      <c r="AJ3" s="24" t="s">
        <v>37</v>
      </c>
      <c r="AK3" s="24" t="s">
        <v>38</v>
      </c>
      <c r="AL3" s="24" t="s">
        <v>39</v>
      </c>
      <c r="AM3" s="24" t="s">
        <v>40</v>
      </c>
      <c r="AN3" s="24" t="s">
        <v>41</v>
      </c>
      <c r="AO3" s="24" t="s">
        <v>42</v>
      </c>
      <c r="AP3" s="24" t="s">
        <v>43</v>
      </c>
      <c r="AQ3" s="24" t="s">
        <v>44</v>
      </c>
      <c r="AR3" s="24" t="s">
        <v>45</v>
      </c>
      <c r="AS3" s="24" t="s">
        <v>46</v>
      </c>
      <c r="AT3" s="24" t="s">
        <v>47</v>
      </c>
      <c r="AU3" s="24" t="s">
        <v>48</v>
      </c>
      <c r="AV3" s="24" t="s">
        <v>49</v>
      </c>
      <c r="AW3" s="24" t="s">
        <v>50</v>
      </c>
      <c r="AX3" s="24" t="s">
        <v>51</v>
      </c>
      <c r="AY3" s="24" t="s">
        <v>52</v>
      </c>
      <c r="AZ3" s="24" t="s">
        <v>53</v>
      </c>
      <c r="BA3" s="24" t="s">
        <v>54</v>
      </c>
      <c r="BB3" s="24" t="s">
        <v>55</v>
      </c>
      <c r="BC3" s="24" t="s">
        <v>56</v>
      </c>
      <c r="BD3" s="24" t="s">
        <v>57</v>
      </c>
      <c r="BE3" s="24" t="s">
        <v>58</v>
      </c>
      <c r="BF3" s="24" t="s">
        <v>59</v>
      </c>
      <c r="BG3" s="24" t="s">
        <v>60</v>
      </c>
      <c r="BH3" s="24" t="s">
        <v>61</v>
      </c>
      <c r="BI3" s="24" t="s">
        <v>62</v>
      </c>
      <c r="BJ3" s="24" t="s">
        <v>63</v>
      </c>
      <c r="BK3" s="24" t="s">
        <v>64</v>
      </c>
      <c r="BL3" s="24" t="s">
        <v>65</v>
      </c>
      <c r="BM3" s="24" t="s">
        <v>66</v>
      </c>
      <c r="BN3" s="24" t="s">
        <v>67</v>
      </c>
      <c r="BO3" s="33" t="s">
        <v>68</v>
      </c>
    </row>
    <row r="4" spans="1:68" s="3" customFormat="1" ht="25.5" customHeight="1">
      <c r="A4" s="22" t="s">
        <v>69</v>
      </c>
      <c r="B4" s="4">
        <v>29014387</v>
      </c>
      <c r="C4" s="3" t="s">
        <v>70</v>
      </c>
      <c r="D4" s="3" t="s">
        <v>71</v>
      </c>
      <c r="E4" s="6">
        <v>7813582489</v>
      </c>
      <c r="F4" s="3" t="s">
        <v>72</v>
      </c>
      <c r="G4" s="64">
        <v>9</v>
      </c>
      <c r="H4" s="15" t="s">
        <v>73</v>
      </c>
      <c r="I4" s="40" t="s">
        <v>74</v>
      </c>
      <c r="J4" s="63" t="s">
        <v>75</v>
      </c>
      <c r="K4" s="57">
        <v>8.7799999999999994</v>
      </c>
      <c r="L4" s="75">
        <v>52</v>
      </c>
      <c r="M4" s="81">
        <v>39</v>
      </c>
      <c r="N4" s="84">
        <f>(Tabela1[[#This Row],[SIMULADO 2 NOTA]]-Tabela1[[#This Row],[SIMULADO 1 - NOTA]])</f>
        <v>-13</v>
      </c>
      <c r="O4" s="52"/>
      <c r="P4" s="52"/>
      <c r="Q4" s="52"/>
      <c r="R4" s="52"/>
      <c r="S4" s="52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34"/>
      <c r="BP4" s="22"/>
    </row>
    <row r="5" spans="1:68" s="3" customFormat="1" ht="25.5" hidden="1" customHeight="1">
      <c r="A5" s="22" t="s">
        <v>69</v>
      </c>
      <c r="B5" s="3">
        <v>33340510</v>
      </c>
      <c r="C5" s="3" t="s">
        <v>70</v>
      </c>
      <c r="D5" s="3" t="s">
        <v>71</v>
      </c>
      <c r="E5" s="6">
        <v>70625109473</v>
      </c>
      <c r="F5" s="3" t="s">
        <v>72</v>
      </c>
      <c r="G5" s="64">
        <v>7</v>
      </c>
      <c r="H5" s="3" t="s">
        <v>76</v>
      </c>
      <c r="I5" s="41"/>
      <c r="J5" s="63" t="s">
        <v>77</v>
      </c>
      <c r="K5" s="57"/>
      <c r="L5" s="76">
        <v>0</v>
      </c>
      <c r="M5" s="81">
        <v>0</v>
      </c>
      <c r="N5" s="81">
        <f>(Tabela1[[#This Row],[SIMULADO 2 NOTA]]-Tabela1[[#This Row],[SIMULADO 1 - NOTA]])</f>
        <v>0</v>
      </c>
      <c r="O5" s="53"/>
      <c r="P5" s="53"/>
      <c r="Q5" s="53"/>
      <c r="R5" s="53"/>
      <c r="S5" s="53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34"/>
      <c r="BP5" s="22"/>
    </row>
    <row r="6" spans="1:68" s="3" customFormat="1" ht="25.5" hidden="1" customHeight="1">
      <c r="A6" s="22" t="s">
        <v>69</v>
      </c>
      <c r="B6" s="5">
        <v>33703931</v>
      </c>
      <c r="C6" s="3" t="s">
        <v>70</v>
      </c>
      <c r="D6" s="3" t="s">
        <v>71</v>
      </c>
      <c r="E6" s="6">
        <v>71706817495</v>
      </c>
      <c r="F6" s="3" t="s">
        <v>78</v>
      </c>
      <c r="G6" s="64">
        <v>7</v>
      </c>
      <c r="H6" s="8" t="s">
        <v>79</v>
      </c>
      <c r="I6" s="42" t="s">
        <v>80</v>
      </c>
      <c r="J6" s="63" t="s">
        <v>77</v>
      </c>
      <c r="K6" s="58" t="s">
        <v>81</v>
      </c>
      <c r="L6" s="76">
        <v>0</v>
      </c>
      <c r="M6" s="81">
        <v>0</v>
      </c>
      <c r="N6" s="81">
        <f>(Tabela1[[#This Row],[SIMULADO 2 NOTA]]-Tabela1[[#This Row],[SIMULADO 1 - NOTA]])</f>
        <v>0</v>
      </c>
      <c r="O6" s="53"/>
      <c r="P6" s="53"/>
      <c r="Q6" s="53"/>
      <c r="R6" s="53"/>
      <c r="S6" s="53"/>
      <c r="T6" s="7"/>
      <c r="U6" s="7"/>
      <c r="V6" s="7"/>
      <c r="W6" s="7"/>
      <c r="X6" s="7"/>
      <c r="Y6" s="7">
        <v>4.8</v>
      </c>
      <c r="Z6" s="7">
        <v>4.7</v>
      </c>
      <c r="AA6" s="7">
        <v>4.7</v>
      </c>
      <c r="AB6" s="7">
        <v>4.7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34"/>
      <c r="BP6" s="22"/>
    </row>
    <row r="7" spans="1:68" s="3" customFormat="1" ht="25.5" customHeight="1">
      <c r="A7" s="22" t="s">
        <v>69</v>
      </c>
      <c r="B7" s="4">
        <v>30066247</v>
      </c>
      <c r="C7" s="3" t="s">
        <v>70</v>
      </c>
      <c r="D7" s="3" t="s">
        <v>71</v>
      </c>
      <c r="E7" s="6">
        <v>2258619416</v>
      </c>
      <c r="F7" s="3" t="s">
        <v>82</v>
      </c>
      <c r="G7" s="64">
        <v>9</v>
      </c>
      <c r="H7" s="18" t="s">
        <v>83</v>
      </c>
      <c r="I7" s="43" t="s">
        <v>84</v>
      </c>
      <c r="J7" s="63" t="s">
        <v>75</v>
      </c>
      <c r="K7" s="58" t="s">
        <v>85</v>
      </c>
      <c r="L7" s="75">
        <v>42</v>
      </c>
      <c r="M7" s="81">
        <v>41</v>
      </c>
      <c r="N7" s="84">
        <f>(Tabela1[[#This Row],[SIMULADO 2 NOTA]]-Tabela1[[#This Row],[SIMULADO 1 - NOTA]])</f>
        <v>-1</v>
      </c>
      <c r="O7" s="52"/>
      <c r="P7" s="52"/>
      <c r="Q7" s="52"/>
      <c r="R7" s="52"/>
      <c r="S7" s="52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34"/>
      <c r="BP7" s="22"/>
    </row>
    <row r="8" spans="1:68" s="3" customFormat="1" ht="25.5" customHeight="1">
      <c r="A8" s="22" t="s">
        <v>69</v>
      </c>
      <c r="B8" s="5">
        <v>32690541</v>
      </c>
      <c r="C8" s="3" t="s">
        <v>70</v>
      </c>
      <c r="D8" s="3" t="s">
        <v>71</v>
      </c>
      <c r="E8" s="6">
        <v>10668057416</v>
      </c>
      <c r="F8" s="3" t="s">
        <v>78</v>
      </c>
      <c r="G8" s="64">
        <v>7</v>
      </c>
      <c r="H8" s="3" t="s">
        <v>86</v>
      </c>
      <c r="I8" s="41"/>
      <c r="J8" s="63" t="s">
        <v>77</v>
      </c>
      <c r="K8" s="57"/>
      <c r="L8" s="76">
        <v>0</v>
      </c>
      <c r="M8" s="81">
        <v>41</v>
      </c>
      <c r="N8" s="79">
        <f>(Tabela1[[#This Row],[SIMULADO 2 NOTA]]-Tabela1[[#This Row],[SIMULADO 1 - NOTA]])</f>
        <v>41</v>
      </c>
      <c r="O8" s="69"/>
      <c r="P8" s="69"/>
      <c r="Q8" s="69"/>
      <c r="R8" s="69"/>
      <c r="S8" s="69"/>
      <c r="T8" s="7"/>
      <c r="U8" s="7"/>
      <c r="V8" s="7" t="s">
        <v>87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34"/>
      <c r="BP8" s="22"/>
    </row>
    <row r="9" spans="1:68" s="3" customFormat="1" ht="25.5" customHeight="1">
      <c r="A9" s="22" t="s">
        <v>69</v>
      </c>
      <c r="B9" s="3">
        <v>25585371</v>
      </c>
      <c r="C9" s="3" t="s">
        <v>70</v>
      </c>
      <c r="D9" s="3" t="s">
        <v>71</v>
      </c>
      <c r="E9" s="6">
        <v>91256038334</v>
      </c>
      <c r="F9" s="3" t="s">
        <v>72</v>
      </c>
      <c r="G9" s="64">
        <v>11</v>
      </c>
      <c r="H9" s="8" t="s">
        <v>88</v>
      </c>
      <c r="I9" s="42" t="s">
        <v>80</v>
      </c>
      <c r="J9" s="63" t="s">
        <v>77</v>
      </c>
      <c r="K9" s="58" t="s">
        <v>89</v>
      </c>
      <c r="L9" s="76">
        <v>0</v>
      </c>
      <c r="M9" s="82">
        <v>49</v>
      </c>
      <c r="N9" s="92">
        <f>(Tabela1[[#This Row],[SIMULADO 2 NOTA]]-Tabela1[[#This Row],[SIMULADO 1 - NOTA]])</f>
        <v>49</v>
      </c>
      <c r="O9" s="78"/>
      <c r="P9" s="78"/>
      <c r="Q9" s="78"/>
      <c r="R9" s="78"/>
      <c r="S9" s="78"/>
      <c r="T9" s="68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34"/>
      <c r="BP9" s="22"/>
    </row>
    <row r="10" spans="1:68" s="3" customFormat="1" ht="25.5" customHeight="1">
      <c r="A10" s="22" t="s">
        <v>69</v>
      </c>
      <c r="B10" s="3">
        <v>32737122</v>
      </c>
      <c r="C10" s="3" t="s">
        <v>70</v>
      </c>
      <c r="D10" s="3" t="s">
        <v>71</v>
      </c>
      <c r="E10" s="6">
        <v>70367376466</v>
      </c>
      <c r="F10" s="3" t="s">
        <v>72</v>
      </c>
      <c r="G10" s="64">
        <v>7</v>
      </c>
      <c r="H10" s="3" t="s">
        <v>90</v>
      </c>
      <c r="I10" s="41"/>
      <c r="J10" s="63" t="s">
        <v>77</v>
      </c>
      <c r="K10" s="57"/>
      <c r="L10" s="76">
        <v>0</v>
      </c>
      <c r="M10" s="81">
        <v>37</v>
      </c>
      <c r="N10" s="79">
        <f>(Tabela1[[#This Row],[SIMULADO 2 NOTA]]-Tabela1[[#This Row],[SIMULADO 1 - NOTA]])</f>
        <v>37</v>
      </c>
      <c r="O10" s="70"/>
      <c r="P10" s="70"/>
      <c r="Q10" s="70"/>
      <c r="R10" s="70"/>
      <c r="S10" s="70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34"/>
      <c r="BP10" s="22"/>
    </row>
    <row r="11" spans="1:68" s="3" customFormat="1" ht="25.5" customHeight="1">
      <c r="A11" s="22" t="s">
        <v>69</v>
      </c>
      <c r="B11" s="4">
        <v>28956800</v>
      </c>
      <c r="C11" s="3" t="s">
        <v>70</v>
      </c>
      <c r="D11" s="3" t="s">
        <v>71</v>
      </c>
      <c r="E11" s="6">
        <v>7939104390</v>
      </c>
      <c r="F11" s="3" t="s">
        <v>91</v>
      </c>
      <c r="G11" s="64">
        <v>9</v>
      </c>
      <c r="H11" s="3" t="s">
        <v>92</v>
      </c>
      <c r="I11" s="41"/>
      <c r="J11" s="63" t="s">
        <v>75</v>
      </c>
      <c r="K11" s="58" t="s">
        <v>93</v>
      </c>
      <c r="L11" s="75">
        <v>64</v>
      </c>
      <c r="M11" s="81">
        <v>65</v>
      </c>
      <c r="N11" s="79">
        <f>(Tabela1[[#This Row],[SIMULADO 2 NOTA]]-Tabela1[[#This Row],[SIMULADO 1 - NOTA]])</f>
        <v>1</v>
      </c>
      <c r="O11" s="52"/>
      <c r="P11" s="52"/>
      <c r="Q11" s="26"/>
      <c r="R11" s="26"/>
      <c r="S11" s="52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34"/>
      <c r="BP11" s="22"/>
    </row>
    <row r="12" spans="1:68" s="3" customFormat="1" ht="25.5" hidden="1" customHeight="1">
      <c r="A12" s="22" t="s">
        <v>69</v>
      </c>
      <c r="B12" s="5">
        <v>32690525</v>
      </c>
      <c r="C12" s="3" t="s">
        <v>70</v>
      </c>
      <c r="D12" s="3" t="s">
        <v>71</v>
      </c>
      <c r="E12" s="6">
        <v>10108468410</v>
      </c>
      <c r="F12" s="3" t="s">
        <v>78</v>
      </c>
      <c r="G12" s="64">
        <v>7</v>
      </c>
      <c r="H12" s="3" t="s">
        <v>94</v>
      </c>
      <c r="I12" s="41"/>
      <c r="J12" s="63" t="s">
        <v>77</v>
      </c>
      <c r="K12" s="57"/>
      <c r="L12" s="76">
        <v>0</v>
      </c>
      <c r="M12" s="81">
        <v>35</v>
      </c>
      <c r="N12" s="79">
        <f>(Tabela1[[#This Row],[SIMULADO 2 NOTA]]-Tabela1[[#This Row],[SIMULADO 1 - NOTA]])</f>
        <v>35</v>
      </c>
      <c r="O12" s="53"/>
      <c r="P12" s="53"/>
      <c r="Q12" s="53"/>
      <c r="R12" s="53"/>
      <c r="S12" s="5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34"/>
      <c r="BP12" s="22"/>
    </row>
    <row r="13" spans="1:68" s="3" customFormat="1" ht="25.5" hidden="1" customHeight="1">
      <c r="A13" s="22" t="s">
        <v>69</v>
      </c>
      <c r="B13" s="3">
        <v>34890726</v>
      </c>
      <c r="C13" s="3" t="s">
        <v>70</v>
      </c>
      <c r="D13" s="3" t="s">
        <v>71</v>
      </c>
      <c r="E13" s="6">
        <v>10910908400</v>
      </c>
      <c r="F13" s="3" t="s">
        <v>72</v>
      </c>
      <c r="G13" s="64">
        <v>7</v>
      </c>
      <c r="H13" s="3" t="s">
        <v>95</v>
      </c>
      <c r="I13" s="41"/>
      <c r="J13" s="63" t="s">
        <v>77</v>
      </c>
      <c r="K13" s="57"/>
      <c r="L13" s="76">
        <v>0</v>
      </c>
      <c r="M13" s="81">
        <v>0</v>
      </c>
      <c r="N13" s="81">
        <f>(Tabela1[[#This Row],[SIMULADO 2 NOTA]]-Tabela1[[#This Row],[SIMULADO 1 - NOTA]])</f>
        <v>0</v>
      </c>
      <c r="O13" s="69"/>
      <c r="P13" s="69"/>
      <c r="Q13" s="69"/>
      <c r="R13" s="69"/>
      <c r="S13" s="69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34"/>
      <c r="BP13" s="22"/>
    </row>
    <row r="14" spans="1:68" s="3" customFormat="1" ht="25.5" customHeight="1">
      <c r="A14" s="22" t="s">
        <v>69</v>
      </c>
      <c r="B14" s="3">
        <v>25575830</v>
      </c>
      <c r="C14" s="3" t="s">
        <v>70</v>
      </c>
      <c r="D14" s="3" t="s">
        <v>71</v>
      </c>
      <c r="E14" s="6">
        <v>3245121474</v>
      </c>
      <c r="F14" s="3" t="s">
        <v>82</v>
      </c>
      <c r="G14" s="64">
        <v>11</v>
      </c>
      <c r="H14" s="3" t="s">
        <v>96</v>
      </c>
      <c r="I14" s="41"/>
      <c r="J14" s="63" t="s">
        <v>77</v>
      </c>
      <c r="K14" s="58" t="s">
        <v>97</v>
      </c>
      <c r="L14" s="75">
        <v>72</v>
      </c>
      <c r="M14" s="82">
        <v>60</v>
      </c>
      <c r="N14" s="84">
        <f>(Tabela1[[#This Row],[SIMULADO 2 NOTA]]-Tabela1[[#This Row],[SIMULADO 1 - NOTA]])</f>
        <v>-12</v>
      </c>
      <c r="O14" s="78"/>
      <c r="P14" s="78"/>
      <c r="Q14" s="78"/>
      <c r="R14" s="78"/>
      <c r="S14" s="78"/>
      <c r="T14" s="68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34"/>
      <c r="BP14" s="22"/>
    </row>
    <row r="15" spans="1:68" s="3" customFormat="1" ht="25.5" customHeight="1">
      <c r="A15" s="22" t="s">
        <v>69</v>
      </c>
      <c r="B15" s="3">
        <v>27748324</v>
      </c>
      <c r="C15" s="3" t="s">
        <v>70</v>
      </c>
      <c r="D15" s="3" t="s">
        <v>71</v>
      </c>
      <c r="E15" s="6">
        <v>1150672480</v>
      </c>
      <c r="F15" s="3" t="s">
        <v>82</v>
      </c>
      <c r="G15" s="64">
        <v>11</v>
      </c>
      <c r="H15" s="15" t="s">
        <v>98</v>
      </c>
      <c r="I15" s="40" t="s">
        <v>74</v>
      </c>
      <c r="J15" s="63" t="s">
        <v>77</v>
      </c>
      <c r="K15" s="58" t="s">
        <v>99</v>
      </c>
      <c r="L15" s="75">
        <v>59</v>
      </c>
      <c r="M15" s="82">
        <v>50</v>
      </c>
      <c r="N15" s="84">
        <f>(Tabela1[[#This Row],[SIMULADO 2 NOTA]]-Tabela1[[#This Row],[SIMULADO 1 - NOTA]])</f>
        <v>-9</v>
      </c>
      <c r="O15" s="78"/>
      <c r="P15" s="78"/>
      <c r="Q15" s="78"/>
      <c r="R15" s="78"/>
      <c r="S15" s="78"/>
      <c r="T15" s="68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34"/>
      <c r="BP15" s="22"/>
    </row>
    <row r="16" spans="1:68" s="3" customFormat="1" ht="25.5" customHeight="1">
      <c r="A16" s="22" t="s">
        <v>69</v>
      </c>
      <c r="B16" s="3">
        <v>25491822</v>
      </c>
      <c r="C16" s="3" t="s">
        <v>70</v>
      </c>
      <c r="D16" s="3" t="s">
        <v>71</v>
      </c>
      <c r="E16" s="6">
        <v>13259957464</v>
      </c>
      <c r="F16" s="3" t="s">
        <v>82</v>
      </c>
      <c r="G16" s="64">
        <v>11</v>
      </c>
      <c r="H16" s="3" t="s">
        <v>100</v>
      </c>
      <c r="I16" s="41"/>
      <c r="J16" s="63" t="s">
        <v>77</v>
      </c>
      <c r="K16" s="58" t="s">
        <v>101</v>
      </c>
      <c r="L16" s="75">
        <v>62</v>
      </c>
      <c r="M16" s="82">
        <v>51</v>
      </c>
      <c r="N16" s="84">
        <f>(Tabela1[[#This Row],[SIMULADO 2 NOTA]]-Tabela1[[#This Row],[SIMULADO 1 - NOTA]])</f>
        <v>-11</v>
      </c>
      <c r="O16" s="78"/>
      <c r="P16" s="78"/>
      <c r="Q16" s="78"/>
      <c r="R16" s="78"/>
      <c r="S16" s="78"/>
      <c r="T16" s="68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34"/>
      <c r="BP16" s="22"/>
    </row>
    <row r="17" spans="1:68" s="3" customFormat="1" ht="25.5" customHeight="1">
      <c r="A17" s="22" t="s">
        <v>69</v>
      </c>
      <c r="B17" s="5">
        <v>34042431</v>
      </c>
      <c r="C17" s="3" t="s">
        <v>70</v>
      </c>
      <c r="D17" s="3" t="s">
        <v>71</v>
      </c>
      <c r="E17" s="6">
        <v>71781457492</v>
      </c>
      <c r="F17" s="3" t="s">
        <v>78</v>
      </c>
      <c r="G17" s="64">
        <v>7</v>
      </c>
      <c r="H17" s="3" t="s">
        <v>102</v>
      </c>
      <c r="I17" s="41"/>
      <c r="J17" s="63" t="s">
        <v>77</v>
      </c>
      <c r="K17" s="57"/>
      <c r="L17" s="76">
        <v>0</v>
      </c>
      <c r="M17" s="81">
        <v>36</v>
      </c>
      <c r="N17" s="79">
        <f>(Tabela1[[#This Row],[SIMULADO 2 NOTA]]-Tabela1[[#This Row],[SIMULADO 1 - NOTA]])</f>
        <v>36</v>
      </c>
      <c r="O17" s="70"/>
      <c r="P17" s="70"/>
      <c r="Q17" s="70"/>
      <c r="R17" s="70"/>
      <c r="S17" s="70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34"/>
      <c r="BP17" s="22"/>
    </row>
    <row r="18" spans="1:68" s="3" customFormat="1" ht="25.5" customHeight="1">
      <c r="A18" s="22" t="s">
        <v>69</v>
      </c>
      <c r="B18" s="4">
        <v>28967470</v>
      </c>
      <c r="C18" s="3" t="s">
        <v>70</v>
      </c>
      <c r="D18" s="3" t="s">
        <v>71</v>
      </c>
      <c r="E18" s="6">
        <v>6989849436</v>
      </c>
      <c r="F18" s="3" t="s">
        <v>72</v>
      </c>
      <c r="G18" s="64">
        <v>9</v>
      </c>
      <c r="H18" s="15" t="s">
        <v>103</v>
      </c>
      <c r="I18" s="40" t="s">
        <v>74</v>
      </c>
      <c r="J18" s="63" t="s">
        <v>75</v>
      </c>
      <c r="K18" s="58" t="s">
        <v>104</v>
      </c>
      <c r="L18" s="75">
        <v>58</v>
      </c>
      <c r="M18" s="81">
        <v>44</v>
      </c>
      <c r="N18" s="84">
        <f>(Tabela1[[#This Row],[SIMULADO 2 NOTA]]-Tabela1[[#This Row],[SIMULADO 1 - NOTA]])</f>
        <v>-14</v>
      </c>
      <c r="O18" s="52"/>
      <c r="P18" s="52"/>
      <c r="Q18" s="52"/>
      <c r="R18" s="52"/>
      <c r="S18" s="52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34"/>
      <c r="BP18" s="22"/>
    </row>
    <row r="19" spans="1:68" s="3" customFormat="1" ht="25.5" hidden="1" customHeight="1">
      <c r="A19" s="22" t="s">
        <v>69</v>
      </c>
      <c r="B19" s="3">
        <v>34530622</v>
      </c>
      <c r="C19" s="3" t="s">
        <v>70</v>
      </c>
      <c r="D19" s="3" t="s">
        <v>71</v>
      </c>
      <c r="E19" s="6">
        <v>10586851470</v>
      </c>
      <c r="F19" s="3" t="s">
        <v>72</v>
      </c>
      <c r="G19" s="64">
        <v>7</v>
      </c>
      <c r="H19" s="3" t="s">
        <v>105</v>
      </c>
      <c r="I19" s="41"/>
      <c r="J19" s="63" t="s">
        <v>77</v>
      </c>
      <c r="K19" s="57"/>
      <c r="L19" s="76">
        <v>0</v>
      </c>
      <c r="M19" s="81">
        <v>0</v>
      </c>
      <c r="N19" s="81">
        <f>(Tabela1[[#This Row],[SIMULADO 2 NOTA]]-Tabela1[[#This Row],[SIMULADO 1 - NOTA]])</f>
        <v>0</v>
      </c>
      <c r="O19" s="53"/>
      <c r="P19" s="53"/>
      <c r="Q19" s="53"/>
      <c r="R19" s="53"/>
      <c r="S19" s="5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34"/>
      <c r="BP19" s="22"/>
    </row>
    <row r="20" spans="1:68" s="3" customFormat="1" ht="25.5" customHeight="1">
      <c r="A20" s="22" t="s">
        <v>69</v>
      </c>
      <c r="B20" s="4">
        <v>28931793</v>
      </c>
      <c r="C20" s="3" t="s">
        <v>70</v>
      </c>
      <c r="D20" s="3" t="s">
        <v>71</v>
      </c>
      <c r="E20" s="6">
        <v>11313182427</v>
      </c>
      <c r="F20" s="3" t="s">
        <v>72</v>
      </c>
      <c r="G20" s="64">
        <v>9</v>
      </c>
      <c r="H20" s="18" t="s">
        <v>106</v>
      </c>
      <c r="I20" s="43" t="s">
        <v>84</v>
      </c>
      <c r="J20" s="63" t="s">
        <v>75</v>
      </c>
      <c r="K20" s="58" t="s">
        <v>107</v>
      </c>
      <c r="L20" s="75">
        <v>49</v>
      </c>
      <c r="M20" s="81">
        <v>37</v>
      </c>
      <c r="N20" s="84">
        <f>(Tabela1[[#This Row],[SIMULADO 2 NOTA]]-Tabela1[[#This Row],[SIMULADO 1 - NOTA]])</f>
        <v>-12</v>
      </c>
      <c r="O20" s="52"/>
      <c r="P20" s="52"/>
      <c r="Q20" s="52"/>
      <c r="R20" s="52"/>
      <c r="S20" s="5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34"/>
      <c r="BP20" s="22"/>
    </row>
    <row r="21" spans="1:68" s="3" customFormat="1" ht="25.5" customHeight="1">
      <c r="A21" s="23" t="s">
        <v>69</v>
      </c>
      <c r="B21" s="5">
        <v>33393761</v>
      </c>
      <c r="C21" s="5" t="s">
        <v>70</v>
      </c>
      <c r="D21" s="5" t="s">
        <v>71</v>
      </c>
      <c r="E21" s="16">
        <v>9127398439</v>
      </c>
      <c r="F21" s="5" t="s">
        <v>91</v>
      </c>
      <c r="G21" s="63">
        <v>7</v>
      </c>
      <c r="H21" s="5" t="s">
        <v>108</v>
      </c>
      <c r="I21" s="44"/>
      <c r="J21" s="63" t="s">
        <v>77</v>
      </c>
      <c r="K21" s="57"/>
      <c r="L21" s="76">
        <v>0</v>
      </c>
      <c r="M21" s="81">
        <v>40</v>
      </c>
      <c r="N21" s="79">
        <f>(Tabela1[[#This Row],[SIMULADO 2 NOTA]]-Tabela1[[#This Row],[SIMULADO 1 - NOTA]])</f>
        <v>40</v>
      </c>
      <c r="O21" s="53"/>
      <c r="P21" s="53"/>
      <c r="Q21" s="53"/>
      <c r="R21" s="53"/>
      <c r="S21" s="53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35"/>
      <c r="BP21" s="22"/>
    </row>
    <row r="22" spans="1:68" s="3" customFormat="1" ht="25.5" hidden="1" customHeight="1">
      <c r="A22" s="23" t="s">
        <v>69</v>
      </c>
      <c r="B22" s="10">
        <v>28943775</v>
      </c>
      <c r="C22" s="5" t="s">
        <v>70</v>
      </c>
      <c r="D22" s="5" t="s">
        <v>109</v>
      </c>
      <c r="E22" s="16"/>
      <c r="F22" s="10" t="s">
        <v>78</v>
      </c>
      <c r="G22" s="65">
        <v>9</v>
      </c>
      <c r="H22" s="10" t="s">
        <v>110</v>
      </c>
      <c r="I22" s="44"/>
      <c r="J22" s="63" t="s">
        <v>75</v>
      </c>
      <c r="K22" s="59"/>
      <c r="L22" s="76">
        <v>0</v>
      </c>
      <c r="M22" s="81">
        <v>0</v>
      </c>
      <c r="N22" s="81">
        <f>(Tabela1[[#This Row],[SIMULADO 2 NOTA]]-Tabela1[[#This Row],[SIMULADO 1 - NOTA]])</f>
        <v>0</v>
      </c>
      <c r="O22" s="69"/>
      <c r="P22" s="69"/>
      <c r="Q22" s="69"/>
      <c r="R22" s="69"/>
      <c r="S22" s="69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35"/>
      <c r="BP22" s="22"/>
    </row>
    <row r="23" spans="1:68" s="3" customFormat="1" ht="25.5" hidden="1" customHeight="1">
      <c r="A23" s="22" t="s">
        <v>69</v>
      </c>
      <c r="B23" s="3">
        <v>29253373</v>
      </c>
      <c r="C23" s="3" t="s">
        <v>70</v>
      </c>
      <c r="D23" s="3" t="s">
        <v>71</v>
      </c>
      <c r="E23" s="6">
        <v>94881995391</v>
      </c>
      <c r="F23" s="3" t="s">
        <v>82</v>
      </c>
      <c r="G23" s="64">
        <v>11</v>
      </c>
      <c r="H23" s="18" t="s">
        <v>111</v>
      </c>
      <c r="I23" s="43" t="s">
        <v>84</v>
      </c>
      <c r="J23" s="63" t="s">
        <v>77</v>
      </c>
      <c r="K23" s="58" t="s">
        <v>112</v>
      </c>
      <c r="L23" s="75">
        <v>46</v>
      </c>
      <c r="M23" s="81">
        <v>0</v>
      </c>
      <c r="N23" s="84">
        <f>(Tabela1[[#This Row],[SIMULADO 2 NOTA]]-Tabela1[[#This Row],[SIMULADO 1 - NOTA]])</f>
        <v>-46</v>
      </c>
      <c r="O23" s="78"/>
      <c r="P23" s="78"/>
      <c r="Q23" s="78"/>
      <c r="R23" s="78"/>
      <c r="S23" s="78"/>
      <c r="T23" s="6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34"/>
      <c r="BP23" s="22"/>
    </row>
    <row r="24" spans="1:68" s="3" customFormat="1" ht="25.5" hidden="1" customHeight="1">
      <c r="A24" s="22" t="s">
        <v>69</v>
      </c>
      <c r="B24" s="5">
        <v>32654774</v>
      </c>
      <c r="C24" s="3" t="s">
        <v>70</v>
      </c>
      <c r="D24" s="3" t="s">
        <v>71</v>
      </c>
      <c r="E24" s="6">
        <v>7950442409</v>
      </c>
      <c r="F24" s="3" t="s">
        <v>78</v>
      </c>
      <c r="G24" s="64">
        <v>7</v>
      </c>
      <c r="H24" s="3" t="s">
        <v>113</v>
      </c>
      <c r="I24" s="41"/>
      <c r="J24" s="63" t="s">
        <v>77</v>
      </c>
      <c r="K24" s="57"/>
      <c r="L24" s="76">
        <v>0</v>
      </c>
      <c r="M24" s="81">
        <v>0</v>
      </c>
      <c r="N24" s="81">
        <f>(Tabela1[[#This Row],[SIMULADO 2 NOTA]]-Tabela1[[#This Row],[SIMULADO 1 - NOTA]])</f>
        <v>0</v>
      </c>
      <c r="O24" s="70"/>
      <c r="P24" s="70"/>
      <c r="Q24" s="70"/>
      <c r="R24" s="70"/>
      <c r="S24" s="70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34"/>
      <c r="BP24" s="22"/>
    </row>
    <row r="25" spans="1:68" s="3" customFormat="1" ht="25.5" customHeight="1">
      <c r="A25" s="22" t="s">
        <v>69</v>
      </c>
      <c r="B25" s="4">
        <v>29089468</v>
      </c>
      <c r="C25" s="3" t="s">
        <v>70</v>
      </c>
      <c r="D25" s="3" t="s">
        <v>71</v>
      </c>
      <c r="E25" s="6">
        <v>12279886480</v>
      </c>
      <c r="F25" s="3" t="s">
        <v>78</v>
      </c>
      <c r="G25" s="64">
        <v>9</v>
      </c>
      <c r="H25" s="15" t="s">
        <v>114</v>
      </c>
      <c r="I25" s="40" t="s">
        <v>74</v>
      </c>
      <c r="J25" s="63" t="s">
        <v>75</v>
      </c>
      <c r="K25" s="58" t="s">
        <v>107</v>
      </c>
      <c r="L25" s="75">
        <v>58</v>
      </c>
      <c r="M25" s="81">
        <v>50</v>
      </c>
      <c r="N25" s="84">
        <f>(Tabela1[[#This Row],[SIMULADO 2 NOTA]]-Tabela1[[#This Row],[SIMULADO 1 - NOTA]])</f>
        <v>-8</v>
      </c>
      <c r="O25" s="52"/>
      <c r="P25" s="52"/>
      <c r="Q25" s="52"/>
      <c r="R25" s="52"/>
      <c r="S25" s="52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34"/>
      <c r="BP25" s="22"/>
    </row>
    <row r="26" spans="1:68" s="3" customFormat="1" ht="25.5" customHeight="1">
      <c r="A26" s="22" t="s">
        <v>69</v>
      </c>
      <c r="B26" s="4">
        <v>29242037</v>
      </c>
      <c r="C26" s="3" t="s">
        <v>70</v>
      </c>
      <c r="D26" s="3" t="s">
        <v>71</v>
      </c>
      <c r="E26" s="6">
        <v>14432205407</v>
      </c>
      <c r="F26" s="3" t="s">
        <v>91</v>
      </c>
      <c r="G26" s="64">
        <v>9</v>
      </c>
      <c r="H26" s="15" t="s">
        <v>115</v>
      </c>
      <c r="I26" s="40" t="s">
        <v>74</v>
      </c>
      <c r="J26" s="63" t="s">
        <v>75</v>
      </c>
      <c r="K26" s="58" t="s">
        <v>116</v>
      </c>
      <c r="L26" s="75">
        <v>53</v>
      </c>
      <c r="M26" s="81">
        <v>45</v>
      </c>
      <c r="N26" s="84">
        <f>(Tabela1[[#This Row],[SIMULADO 2 NOTA]]-Tabela1[[#This Row],[SIMULADO 1 - NOTA]])</f>
        <v>-8</v>
      </c>
      <c r="O26" s="52"/>
      <c r="P26" s="52"/>
      <c r="Q26" s="52"/>
      <c r="R26" s="52"/>
      <c r="S26" s="52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34"/>
      <c r="BP26" s="22"/>
    </row>
    <row r="27" spans="1:68" s="3" customFormat="1" ht="25.5" hidden="1" customHeight="1">
      <c r="A27" s="22" t="s">
        <v>69</v>
      </c>
      <c r="B27" s="4">
        <v>29030251</v>
      </c>
      <c r="C27" s="3" t="s">
        <v>70</v>
      </c>
      <c r="D27" s="3" t="s">
        <v>71</v>
      </c>
      <c r="E27" s="6">
        <v>1752767225</v>
      </c>
      <c r="F27" s="3" t="s">
        <v>72</v>
      </c>
      <c r="G27" s="64">
        <v>9</v>
      </c>
      <c r="H27" s="18" t="s">
        <v>117</v>
      </c>
      <c r="I27" s="43" t="s">
        <v>84</v>
      </c>
      <c r="J27" s="63" t="s">
        <v>75</v>
      </c>
      <c r="K27" s="58" t="s">
        <v>118</v>
      </c>
      <c r="L27" s="75">
        <v>40</v>
      </c>
      <c r="M27" s="81">
        <v>0</v>
      </c>
      <c r="N27" s="84">
        <f>(Tabela1[[#This Row],[SIMULADO 2 NOTA]]-Tabela1[[#This Row],[SIMULADO 1 - NOTA]])</f>
        <v>-40</v>
      </c>
      <c r="O27" s="54"/>
      <c r="P27" s="54"/>
      <c r="Q27" s="54"/>
      <c r="R27" s="54"/>
      <c r="S27" s="5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34"/>
      <c r="BP27" s="22"/>
    </row>
    <row r="28" spans="1:68" s="3" customFormat="1" ht="25.5" customHeight="1">
      <c r="A28" s="22" t="s">
        <v>69</v>
      </c>
      <c r="B28" s="3">
        <v>25204971</v>
      </c>
      <c r="C28" s="3" t="s">
        <v>70</v>
      </c>
      <c r="D28" s="3" t="s">
        <v>71</v>
      </c>
      <c r="E28" s="6">
        <v>71733368485</v>
      </c>
      <c r="F28" s="3" t="s">
        <v>72</v>
      </c>
      <c r="G28" s="64">
        <v>11</v>
      </c>
      <c r="H28" s="18" t="s">
        <v>119</v>
      </c>
      <c r="I28" s="43" t="s">
        <v>84</v>
      </c>
      <c r="J28" s="63" t="s">
        <v>77</v>
      </c>
      <c r="K28" s="58" t="s">
        <v>120</v>
      </c>
      <c r="L28" s="75">
        <v>42</v>
      </c>
      <c r="M28" s="82">
        <v>47</v>
      </c>
      <c r="N28" s="92">
        <f>(Tabela1[[#This Row],[SIMULADO 2 NOTA]]-Tabela1[[#This Row],[SIMULADO 1 - NOTA]])</f>
        <v>5</v>
      </c>
      <c r="O28" s="78"/>
      <c r="P28" s="78"/>
      <c r="Q28" s="78"/>
      <c r="R28" s="78"/>
      <c r="S28" s="78"/>
      <c r="T28" s="68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34"/>
      <c r="BP28" s="22"/>
    </row>
    <row r="29" spans="1:68" s="3" customFormat="1" ht="25.5" customHeight="1">
      <c r="A29" s="22" t="s">
        <v>69</v>
      </c>
      <c r="B29" s="4">
        <v>29006422</v>
      </c>
      <c r="C29" s="3" t="s">
        <v>70</v>
      </c>
      <c r="D29" s="3" t="s">
        <v>71</v>
      </c>
      <c r="E29" s="6">
        <v>6884418311</v>
      </c>
      <c r="F29" s="3" t="s">
        <v>91</v>
      </c>
      <c r="G29" s="64">
        <v>9</v>
      </c>
      <c r="H29" s="18" t="s">
        <v>121</v>
      </c>
      <c r="I29" s="43" t="s">
        <v>84</v>
      </c>
      <c r="J29" s="63" t="s">
        <v>75</v>
      </c>
      <c r="K29" s="58" t="s">
        <v>118</v>
      </c>
      <c r="L29" s="75">
        <v>49</v>
      </c>
      <c r="M29" s="81">
        <v>30</v>
      </c>
      <c r="N29" s="84">
        <f>(Tabela1[[#This Row],[SIMULADO 2 NOTA]]-Tabela1[[#This Row],[SIMULADO 1 - NOTA]])</f>
        <v>-19</v>
      </c>
      <c r="O29" s="71"/>
      <c r="P29" s="71"/>
      <c r="Q29" s="71"/>
      <c r="R29" s="71"/>
      <c r="S29" s="71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34"/>
      <c r="BP29" s="22"/>
    </row>
    <row r="30" spans="1:68" s="3" customFormat="1" ht="25.5" customHeight="1">
      <c r="A30" s="22" t="s">
        <v>69</v>
      </c>
      <c r="B30" s="3">
        <v>25491768</v>
      </c>
      <c r="C30" s="3" t="s">
        <v>70</v>
      </c>
      <c r="D30" s="3" t="s">
        <v>71</v>
      </c>
      <c r="E30" s="6">
        <v>70104544422</v>
      </c>
      <c r="F30" s="3" t="s">
        <v>72</v>
      </c>
      <c r="G30" s="64">
        <v>11</v>
      </c>
      <c r="H30" s="3" t="s">
        <v>122</v>
      </c>
      <c r="I30" s="41"/>
      <c r="J30" s="63" t="s">
        <v>77</v>
      </c>
      <c r="K30" s="58" t="s">
        <v>123</v>
      </c>
      <c r="L30" s="75">
        <v>63</v>
      </c>
      <c r="M30" s="82">
        <v>57</v>
      </c>
      <c r="N30" s="84">
        <f>(Tabela1[[#This Row],[SIMULADO 2 NOTA]]-Tabela1[[#This Row],[SIMULADO 1 - NOTA]])</f>
        <v>-6</v>
      </c>
      <c r="O30" s="78"/>
      <c r="P30" s="78"/>
      <c r="Q30" s="78"/>
      <c r="R30" s="78"/>
      <c r="S30" s="78"/>
      <c r="T30" s="68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34"/>
      <c r="BP30" s="22"/>
    </row>
    <row r="31" spans="1:68" s="3" customFormat="1" ht="25.5" hidden="1" customHeight="1">
      <c r="A31" s="22" t="s">
        <v>69</v>
      </c>
      <c r="B31" s="3">
        <v>25565818</v>
      </c>
      <c r="C31" s="3" t="s">
        <v>70</v>
      </c>
      <c r="D31" s="3" t="s">
        <v>71</v>
      </c>
      <c r="E31" s="6">
        <v>7944231400</v>
      </c>
      <c r="F31" s="3" t="s">
        <v>72</v>
      </c>
      <c r="G31" s="64">
        <v>11</v>
      </c>
      <c r="H31" s="15" t="s">
        <v>124</v>
      </c>
      <c r="I31" s="40" t="s">
        <v>74</v>
      </c>
      <c r="J31" s="63" t="s">
        <v>77</v>
      </c>
      <c r="K31" s="58" t="s">
        <v>125</v>
      </c>
      <c r="L31" s="75">
        <v>56</v>
      </c>
      <c r="M31" s="81">
        <v>0</v>
      </c>
      <c r="N31" s="84">
        <f>(Tabela1[[#This Row],[SIMULADO 2 NOTA]]-Tabela1[[#This Row],[SIMULADO 1 - NOTA]])</f>
        <v>-56</v>
      </c>
      <c r="O31" s="78"/>
      <c r="P31" s="78"/>
      <c r="Q31" s="78"/>
      <c r="R31" s="78"/>
      <c r="S31" s="78"/>
      <c r="T31" s="68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34"/>
      <c r="BP31" s="22"/>
    </row>
    <row r="32" spans="1:68" s="3" customFormat="1" ht="25.5" customHeight="1">
      <c r="A32" s="22" t="s">
        <v>69</v>
      </c>
      <c r="B32" s="3">
        <v>26109166</v>
      </c>
      <c r="C32" s="3" t="s">
        <v>70</v>
      </c>
      <c r="D32" s="3" t="s">
        <v>71</v>
      </c>
      <c r="E32" s="6">
        <v>12724535456</v>
      </c>
      <c r="F32" s="3" t="s">
        <v>72</v>
      </c>
      <c r="G32" s="64">
        <v>11</v>
      </c>
      <c r="H32" s="15" t="s">
        <v>126</v>
      </c>
      <c r="I32" s="40" t="s">
        <v>74</v>
      </c>
      <c r="J32" s="63" t="s">
        <v>77</v>
      </c>
      <c r="K32" s="58" t="s">
        <v>127</v>
      </c>
      <c r="L32" s="75">
        <v>57</v>
      </c>
      <c r="M32" s="82">
        <v>42</v>
      </c>
      <c r="N32" s="84">
        <f>(Tabela1[[#This Row],[SIMULADO 2 NOTA]]-Tabela1[[#This Row],[SIMULADO 1 - NOTA]])</f>
        <v>-15</v>
      </c>
      <c r="O32" s="78"/>
      <c r="P32" s="78"/>
      <c r="Q32" s="78"/>
      <c r="R32" s="78"/>
      <c r="S32" s="78"/>
      <c r="T32" s="68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34"/>
      <c r="BP32" s="22"/>
    </row>
    <row r="33" spans="1:68" s="3" customFormat="1" ht="25.5" hidden="1" customHeight="1">
      <c r="A33" s="22" t="s">
        <v>69</v>
      </c>
      <c r="B33" s="3">
        <v>32988150</v>
      </c>
      <c r="C33" s="3" t="s">
        <v>70</v>
      </c>
      <c r="D33" s="3" t="s">
        <v>71</v>
      </c>
      <c r="E33" s="6">
        <v>11021991414</v>
      </c>
      <c r="F33" s="3" t="s">
        <v>91</v>
      </c>
      <c r="G33" s="64">
        <v>7</v>
      </c>
      <c r="H33" s="3" t="s">
        <v>128</v>
      </c>
      <c r="I33" s="41"/>
      <c r="J33" s="63" t="s">
        <v>77</v>
      </c>
      <c r="K33" s="57"/>
      <c r="L33" s="76">
        <v>0</v>
      </c>
      <c r="M33" s="81">
        <v>0</v>
      </c>
      <c r="N33" s="81">
        <f>(Tabela1[[#This Row],[SIMULADO 2 NOTA]]-Tabela1[[#This Row],[SIMULADO 1 - NOTA]])</f>
        <v>0</v>
      </c>
      <c r="O33" s="70"/>
      <c r="P33" s="70"/>
      <c r="Q33" s="70"/>
      <c r="R33" s="70"/>
      <c r="S33" s="70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34"/>
      <c r="BP33" s="22"/>
    </row>
    <row r="34" spans="1:68" s="3" customFormat="1" ht="25.5" customHeight="1">
      <c r="A34" s="22" t="s">
        <v>69</v>
      </c>
      <c r="B34" s="4">
        <v>29913977</v>
      </c>
      <c r="C34" s="3" t="s">
        <v>70</v>
      </c>
      <c r="D34" s="3" t="s">
        <v>71</v>
      </c>
      <c r="E34" s="6">
        <v>4635601404</v>
      </c>
      <c r="F34" s="3" t="s">
        <v>91</v>
      </c>
      <c r="G34" s="64">
        <v>9</v>
      </c>
      <c r="H34" s="15" t="s">
        <v>129</v>
      </c>
      <c r="I34" s="40" t="s">
        <v>74</v>
      </c>
      <c r="J34" s="63" t="s">
        <v>75</v>
      </c>
      <c r="K34" s="58" t="s">
        <v>130</v>
      </c>
      <c r="L34" s="75">
        <v>52</v>
      </c>
      <c r="M34" s="81">
        <v>43</v>
      </c>
      <c r="N34" s="84">
        <f>(Tabela1[[#This Row],[SIMULADO 2 NOTA]]-Tabela1[[#This Row],[SIMULADO 1 - NOTA]])</f>
        <v>-9</v>
      </c>
      <c r="O34" s="52"/>
      <c r="P34" s="52"/>
      <c r="Q34" s="52"/>
      <c r="R34" s="52"/>
      <c r="S34" s="52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34"/>
      <c r="BP34" s="22"/>
    </row>
    <row r="35" spans="1:68" s="3" customFormat="1" ht="25.5" customHeight="1">
      <c r="A35" s="22" t="s">
        <v>69</v>
      </c>
      <c r="B35" s="3">
        <v>32712448</v>
      </c>
      <c r="C35" s="3" t="s">
        <v>70</v>
      </c>
      <c r="D35" s="3" t="s">
        <v>71</v>
      </c>
      <c r="E35" s="6">
        <v>70276069412</v>
      </c>
      <c r="F35" s="3" t="s">
        <v>82</v>
      </c>
      <c r="G35" s="64">
        <v>7</v>
      </c>
      <c r="H35" s="3" t="s">
        <v>131</v>
      </c>
      <c r="I35" s="41"/>
      <c r="J35" s="63" t="s">
        <v>77</v>
      </c>
      <c r="K35" s="57"/>
      <c r="L35" s="76">
        <v>0</v>
      </c>
      <c r="M35" s="81">
        <v>28</v>
      </c>
      <c r="N35" s="79">
        <f>(Tabela1[[#This Row],[SIMULADO 2 NOTA]]-Tabela1[[#This Row],[SIMULADO 1 - NOTA]])</f>
        <v>28</v>
      </c>
      <c r="O35" s="69"/>
      <c r="P35" s="69"/>
      <c r="Q35" s="69"/>
      <c r="R35" s="69"/>
      <c r="S35" s="69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34"/>
      <c r="BP35" s="22"/>
    </row>
    <row r="36" spans="1:68" s="3" customFormat="1" ht="25.5" customHeight="1">
      <c r="A36" s="22" t="s">
        <v>69</v>
      </c>
      <c r="B36" s="3">
        <v>31288847</v>
      </c>
      <c r="C36" s="3" t="s">
        <v>70</v>
      </c>
      <c r="D36" s="3" t="s">
        <v>71</v>
      </c>
      <c r="E36" s="6">
        <v>10459018493</v>
      </c>
      <c r="F36" s="3" t="s">
        <v>72</v>
      </c>
      <c r="G36" s="64">
        <v>11</v>
      </c>
      <c r="H36" s="3" t="s">
        <v>132</v>
      </c>
      <c r="I36" s="41"/>
      <c r="J36" s="63" t="s">
        <v>77</v>
      </c>
      <c r="K36" s="58" t="s">
        <v>133</v>
      </c>
      <c r="L36" s="75">
        <v>67</v>
      </c>
      <c r="M36" s="82">
        <v>58</v>
      </c>
      <c r="N36" s="84">
        <f>(Tabela1[[#This Row],[SIMULADO 2 NOTA]]-Tabela1[[#This Row],[SIMULADO 1 - NOTA]])</f>
        <v>-9</v>
      </c>
      <c r="O36" s="78"/>
      <c r="P36" s="78"/>
      <c r="Q36" s="78"/>
      <c r="R36" s="78"/>
      <c r="S36" s="78"/>
      <c r="T36" s="68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34"/>
      <c r="BP36" s="22"/>
    </row>
    <row r="37" spans="1:68" s="3" customFormat="1" ht="25.5" hidden="1" customHeight="1">
      <c r="A37" s="22" t="s">
        <v>69</v>
      </c>
      <c r="B37" s="3">
        <v>25489861</v>
      </c>
      <c r="C37" s="3" t="s">
        <v>70</v>
      </c>
      <c r="D37" s="3" t="s">
        <v>71</v>
      </c>
      <c r="E37" s="6">
        <v>10275736733</v>
      </c>
      <c r="F37" s="3" t="s">
        <v>82</v>
      </c>
      <c r="G37" s="64">
        <v>11</v>
      </c>
      <c r="H37" s="3" t="s">
        <v>134</v>
      </c>
      <c r="I37" s="41"/>
      <c r="J37" s="63" t="s">
        <v>77</v>
      </c>
      <c r="K37" s="58" t="s">
        <v>135</v>
      </c>
      <c r="L37" s="75">
        <v>61</v>
      </c>
      <c r="M37" s="81">
        <v>0</v>
      </c>
      <c r="N37" s="84">
        <f>(Tabela1[[#This Row],[SIMULADO 2 NOTA]]-Tabela1[[#This Row],[SIMULADO 1 - NOTA]])</f>
        <v>-61</v>
      </c>
      <c r="O37" s="78"/>
      <c r="P37" s="78"/>
      <c r="Q37" s="78"/>
      <c r="R37" s="78"/>
      <c r="S37" s="78"/>
      <c r="T37" s="68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34"/>
      <c r="BP37" s="22"/>
    </row>
    <row r="38" spans="1:68" s="3" customFormat="1" ht="25.5" customHeight="1">
      <c r="A38" s="22" t="s">
        <v>69</v>
      </c>
      <c r="B38" s="3">
        <v>26516365</v>
      </c>
      <c r="C38" s="3" t="s">
        <v>70</v>
      </c>
      <c r="D38" s="3" t="s">
        <v>71</v>
      </c>
      <c r="E38" s="6">
        <v>62354569300</v>
      </c>
      <c r="F38" s="3" t="s">
        <v>72</v>
      </c>
      <c r="G38" s="64">
        <v>11</v>
      </c>
      <c r="H38" s="3" t="s">
        <v>136</v>
      </c>
      <c r="I38" s="41"/>
      <c r="J38" s="63" t="s">
        <v>77</v>
      </c>
      <c r="K38" s="58" t="s">
        <v>137</v>
      </c>
      <c r="L38" s="75">
        <v>64</v>
      </c>
      <c r="M38" s="82">
        <v>59</v>
      </c>
      <c r="N38" s="84">
        <f>(Tabela1[[#This Row],[SIMULADO 2 NOTA]]-Tabela1[[#This Row],[SIMULADO 1 - NOTA]])</f>
        <v>-5</v>
      </c>
      <c r="O38" s="78"/>
      <c r="P38" s="78"/>
      <c r="Q38" s="78"/>
      <c r="R38" s="78"/>
      <c r="S38" s="78"/>
      <c r="T38" s="68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34"/>
      <c r="BP38" s="22"/>
    </row>
    <row r="39" spans="1:68" s="3" customFormat="1" ht="25.5" customHeight="1">
      <c r="A39" s="22" t="s">
        <v>69</v>
      </c>
      <c r="B39" s="3">
        <v>26534100</v>
      </c>
      <c r="C39" s="3" t="s">
        <v>70</v>
      </c>
      <c r="D39" s="3" t="s">
        <v>71</v>
      </c>
      <c r="E39" s="6">
        <v>70299490483</v>
      </c>
      <c r="F39" s="3" t="s">
        <v>82</v>
      </c>
      <c r="G39" s="64">
        <v>11</v>
      </c>
      <c r="H39" s="3" t="s">
        <v>138</v>
      </c>
      <c r="I39" s="41"/>
      <c r="J39" s="63" t="s">
        <v>77</v>
      </c>
      <c r="K39" s="58" t="s">
        <v>139</v>
      </c>
      <c r="L39" s="75">
        <v>77</v>
      </c>
      <c r="M39" s="82">
        <v>61</v>
      </c>
      <c r="N39" s="84">
        <f>(Tabela1[[#This Row],[SIMULADO 2 NOTA]]-Tabela1[[#This Row],[SIMULADO 1 - NOTA]])</f>
        <v>-16</v>
      </c>
      <c r="O39" s="78"/>
      <c r="P39" s="78"/>
      <c r="Q39" s="78"/>
      <c r="R39" s="78"/>
      <c r="S39" s="78"/>
      <c r="T39" s="68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34"/>
      <c r="BP39" s="22"/>
    </row>
    <row r="40" spans="1:68" s="3" customFormat="1" ht="25.5" hidden="1" customHeight="1">
      <c r="A40" s="22" t="s">
        <v>69</v>
      </c>
      <c r="B40" s="5">
        <v>38282186</v>
      </c>
      <c r="C40" s="3" t="s">
        <v>70</v>
      </c>
      <c r="D40" s="3" t="s">
        <v>71</v>
      </c>
      <c r="E40" s="6">
        <v>10392729407</v>
      </c>
      <c r="F40" s="3" t="s">
        <v>78</v>
      </c>
      <c r="G40" s="64">
        <v>7</v>
      </c>
      <c r="H40" s="8" t="s">
        <v>140</v>
      </c>
      <c r="I40" s="42" t="s">
        <v>80</v>
      </c>
      <c r="J40" s="63" t="s">
        <v>77</v>
      </c>
      <c r="K40" s="58" t="s">
        <v>141</v>
      </c>
      <c r="L40" s="76">
        <v>0</v>
      </c>
      <c r="M40" s="81">
        <v>0</v>
      </c>
      <c r="N40" s="81">
        <f>(Tabela1[[#This Row],[SIMULADO 2 NOTA]]-Tabela1[[#This Row],[SIMULADO 1 - NOTA]])</f>
        <v>0</v>
      </c>
      <c r="O40" s="70"/>
      <c r="P40" s="70"/>
      <c r="Q40" s="70"/>
      <c r="R40" s="70"/>
      <c r="S40" s="70"/>
      <c r="T40" s="7"/>
      <c r="U40" s="7"/>
      <c r="V40" s="7"/>
      <c r="W40" s="7"/>
      <c r="X40" s="7"/>
      <c r="Y40" s="7"/>
      <c r="Z40" s="7" t="s">
        <v>87</v>
      </c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34"/>
      <c r="BP40" s="22"/>
    </row>
    <row r="41" spans="1:68" s="3" customFormat="1" ht="25.5" hidden="1" customHeight="1">
      <c r="A41" s="22" t="s">
        <v>69</v>
      </c>
      <c r="B41" s="5">
        <v>32698330</v>
      </c>
      <c r="C41" s="3" t="s">
        <v>70</v>
      </c>
      <c r="D41" s="3" t="s">
        <v>71</v>
      </c>
      <c r="E41" s="6">
        <v>7229920418</v>
      </c>
      <c r="F41" s="3" t="s">
        <v>78</v>
      </c>
      <c r="G41" s="64">
        <v>7</v>
      </c>
      <c r="H41" s="3" t="s">
        <v>142</v>
      </c>
      <c r="I41" s="41"/>
      <c r="J41" s="63" t="s">
        <v>77</v>
      </c>
      <c r="K41" s="57"/>
      <c r="L41" s="76">
        <v>0</v>
      </c>
      <c r="M41" s="81">
        <v>35</v>
      </c>
      <c r="N41" s="79">
        <f>(Tabela1[[#This Row],[SIMULADO 2 NOTA]]-Tabela1[[#This Row],[SIMULADO 1 - NOTA]])</f>
        <v>35</v>
      </c>
      <c r="O41" s="53"/>
      <c r="P41" s="53"/>
      <c r="Q41" s="53"/>
      <c r="R41" s="53"/>
      <c r="S41" s="53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34"/>
      <c r="BP41" s="22"/>
    </row>
    <row r="42" spans="1:68" s="3" customFormat="1" ht="25.5" hidden="1" customHeight="1">
      <c r="A42" s="22" t="s">
        <v>69</v>
      </c>
      <c r="B42" s="3">
        <v>33471614</v>
      </c>
      <c r="C42" s="3" t="s">
        <v>70</v>
      </c>
      <c r="D42" s="3" t="s">
        <v>71</v>
      </c>
      <c r="E42" s="6">
        <v>6870397384</v>
      </c>
      <c r="F42" s="3" t="s">
        <v>72</v>
      </c>
      <c r="G42" s="64">
        <v>7</v>
      </c>
      <c r="H42" s="3" t="s">
        <v>143</v>
      </c>
      <c r="I42" s="41"/>
      <c r="J42" s="63" t="s">
        <v>77</v>
      </c>
      <c r="K42" s="57"/>
      <c r="L42" s="76">
        <v>0</v>
      </c>
      <c r="M42" s="81">
        <v>0</v>
      </c>
      <c r="N42" s="81">
        <f>(Tabela1[[#This Row],[SIMULADO 2 NOTA]]-Tabela1[[#This Row],[SIMULADO 1 - NOTA]])</f>
        <v>0</v>
      </c>
      <c r="O42" s="53"/>
      <c r="P42" s="53"/>
      <c r="Q42" s="53"/>
      <c r="R42" s="53"/>
      <c r="S42" s="53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34"/>
      <c r="BP42" s="22"/>
    </row>
    <row r="43" spans="1:68" s="3" customFormat="1" ht="25.5" hidden="1" customHeight="1">
      <c r="A43" s="22" t="s">
        <v>69</v>
      </c>
      <c r="B43" s="11">
        <v>38144212</v>
      </c>
      <c r="C43" s="3" t="s">
        <v>70</v>
      </c>
      <c r="D43" s="5" t="s">
        <v>109</v>
      </c>
      <c r="E43" s="6"/>
      <c r="F43" s="11" t="s">
        <v>78</v>
      </c>
      <c r="G43" s="66">
        <v>7</v>
      </c>
      <c r="H43" s="37" t="s">
        <v>144</v>
      </c>
      <c r="I43" s="45"/>
      <c r="J43" s="63" t="s">
        <v>75</v>
      </c>
      <c r="K43" s="60"/>
      <c r="L43" s="76">
        <v>0</v>
      </c>
      <c r="M43" s="81">
        <v>0</v>
      </c>
      <c r="N43" s="81">
        <f>(Tabela1[[#This Row],[SIMULADO 2 NOTA]]-Tabela1[[#This Row],[SIMULADO 1 - NOTA]])</f>
        <v>0</v>
      </c>
      <c r="O43" s="53"/>
      <c r="P43" s="53"/>
      <c r="Q43" s="53"/>
      <c r="R43" s="53"/>
      <c r="S43" s="53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34"/>
      <c r="BP43" s="22"/>
    </row>
    <row r="44" spans="1:68" s="3" customFormat="1" ht="25.5" customHeight="1">
      <c r="A44" s="22" t="s">
        <v>69</v>
      </c>
      <c r="B44" s="4">
        <v>30814723</v>
      </c>
      <c r="C44" s="3" t="s">
        <v>70</v>
      </c>
      <c r="D44" s="3" t="s">
        <v>71</v>
      </c>
      <c r="E44" s="6">
        <v>8995482451</v>
      </c>
      <c r="F44" s="3" t="s">
        <v>78</v>
      </c>
      <c r="G44" s="64">
        <v>9</v>
      </c>
      <c r="H44" s="3" t="s">
        <v>145</v>
      </c>
      <c r="I44" s="41"/>
      <c r="J44" s="63" t="s">
        <v>75</v>
      </c>
      <c r="K44" s="58" t="s">
        <v>146</v>
      </c>
      <c r="L44" s="75">
        <v>63</v>
      </c>
      <c r="M44" s="81">
        <v>59</v>
      </c>
      <c r="N44" s="84">
        <f>(Tabela1[[#This Row],[SIMULADO 2 NOTA]]-Tabela1[[#This Row],[SIMULADO 1 - NOTA]])</f>
        <v>-4</v>
      </c>
      <c r="O44" s="52"/>
      <c r="P44" s="52"/>
      <c r="Q44" s="52"/>
      <c r="R44" s="52"/>
      <c r="S44" s="52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34"/>
      <c r="BP44" s="22"/>
    </row>
    <row r="45" spans="1:68" s="3" customFormat="1" ht="25.5" customHeight="1">
      <c r="A45" s="22" t="s">
        <v>69</v>
      </c>
      <c r="B45" s="4">
        <v>28936566</v>
      </c>
      <c r="C45" s="3" t="s">
        <v>70</v>
      </c>
      <c r="D45" s="3" t="s">
        <v>71</v>
      </c>
      <c r="E45" s="6">
        <v>8855247484</v>
      </c>
      <c r="F45" s="3" t="s">
        <v>82</v>
      </c>
      <c r="G45" s="64">
        <v>9</v>
      </c>
      <c r="H45" s="18" t="s">
        <v>147</v>
      </c>
      <c r="I45" s="43" t="s">
        <v>84</v>
      </c>
      <c r="J45" s="63" t="s">
        <v>75</v>
      </c>
      <c r="K45" s="58" t="s">
        <v>148</v>
      </c>
      <c r="L45" s="75">
        <v>49</v>
      </c>
      <c r="M45" s="81">
        <v>30</v>
      </c>
      <c r="N45" s="84">
        <f>(Tabela1[[#This Row],[SIMULADO 2 NOTA]]-Tabela1[[#This Row],[SIMULADO 1 - NOTA]])</f>
        <v>-19</v>
      </c>
      <c r="O45" s="52"/>
      <c r="P45" s="52"/>
      <c r="Q45" s="52"/>
      <c r="R45" s="52"/>
      <c r="S45" s="52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34"/>
      <c r="BP45" s="22"/>
    </row>
    <row r="46" spans="1:68" s="3" customFormat="1" ht="25.5" hidden="1" customHeight="1">
      <c r="A46" s="22" t="s">
        <v>69</v>
      </c>
      <c r="B46" s="3">
        <v>32800037</v>
      </c>
      <c r="C46" s="3" t="s">
        <v>70</v>
      </c>
      <c r="D46" s="3" t="s">
        <v>71</v>
      </c>
      <c r="E46" s="6">
        <v>13344453467</v>
      </c>
      <c r="F46" s="3" t="s">
        <v>72</v>
      </c>
      <c r="G46" s="64">
        <v>7</v>
      </c>
      <c r="H46" s="3" t="s">
        <v>149</v>
      </c>
      <c r="I46" s="41"/>
      <c r="J46" s="63" t="s">
        <v>77</v>
      </c>
      <c r="K46" s="57"/>
      <c r="L46" s="76">
        <v>0</v>
      </c>
      <c r="M46" s="81">
        <v>0</v>
      </c>
      <c r="N46" s="81">
        <f>(Tabela1[[#This Row],[SIMULADO 2 NOTA]]-Tabela1[[#This Row],[SIMULADO 1 - NOTA]])</f>
        <v>0</v>
      </c>
      <c r="O46" s="53"/>
      <c r="P46" s="53"/>
      <c r="Q46" s="53"/>
      <c r="R46" s="53"/>
      <c r="S46" s="53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34"/>
      <c r="BP46" s="22"/>
    </row>
    <row r="47" spans="1:68" s="3" customFormat="1" ht="25.5" customHeight="1">
      <c r="A47" s="22" t="s">
        <v>69</v>
      </c>
      <c r="B47" s="5">
        <v>34752889</v>
      </c>
      <c r="C47" s="3" t="s">
        <v>70</v>
      </c>
      <c r="D47" s="3" t="s">
        <v>71</v>
      </c>
      <c r="E47" s="6">
        <v>12658105401</v>
      </c>
      <c r="F47" s="3" t="s">
        <v>78</v>
      </c>
      <c r="G47" s="64">
        <v>7</v>
      </c>
      <c r="H47" s="3" t="s">
        <v>150</v>
      </c>
      <c r="I47" s="41"/>
      <c r="J47" s="63" t="s">
        <v>77</v>
      </c>
      <c r="K47" s="57"/>
      <c r="L47" s="76">
        <v>0</v>
      </c>
      <c r="M47" s="81">
        <v>41</v>
      </c>
      <c r="N47" s="79">
        <f>(Tabela1[[#This Row],[SIMULADO 2 NOTA]]-Tabela1[[#This Row],[SIMULADO 1 - NOTA]])</f>
        <v>41</v>
      </c>
      <c r="O47" s="53"/>
      <c r="P47" s="53"/>
      <c r="Q47" s="53"/>
      <c r="R47" s="53"/>
      <c r="S47" s="53"/>
      <c r="T47" s="7"/>
      <c r="U47" s="7"/>
      <c r="V47" s="7" t="s">
        <v>87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34"/>
      <c r="BP47" s="22"/>
    </row>
    <row r="48" spans="1:68" s="3" customFormat="1" ht="25.5" hidden="1" customHeight="1">
      <c r="A48" s="22" t="s">
        <v>69</v>
      </c>
      <c r="B48" s="3">
        <v>30094518</v>
      </c>
      <c r="C48" s="3" t="s">
        <v>70</v>
      </c>
      <c r="D48" s="3" t="s">
        <v>71</v>
      </c>
      <c r="E48" s="6">
        <v>4611990419</v>
      </c>
      <c r="F48" s="3" t="s">
        <v>82</v>
      </c>
      <c r="G48" s="64">
        <v>11</v>
      </c>
      <c r="H48" s="3" t="s">
        <v>151</v>
      </c>
      <c r="I48" s="41"/>
      <c r="J48" s="63" t="s">
        <v>75</v>
      </c>
      <c r="K48" s="58" t="s">
        <v>152</v>
      </c>
      <c r="L48" s="76">
        <v>0</v>
      </c>
      <c r="M48" s="81">
        <v>0</v>
      </c>
      <c r="N48" s="81">
        <f>(Tabela1[[#This Row],[SIMULADO 2 NOTA]]-Tabela1[[#This Row],[SIMULADO 1 - NOTA]])</f>
        <v>0</v>
      </c>
      <c r="O48" s="53"/>
      <c r="P48" s="53"/>
      <c r="Q48" s="53"/>
      <c r="R48" s="53"/>
      <c r="S48" s="53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34"/>
      <c r="BP48" s="22"/>
    </row>
    <row r="49" spans="1:68" s="3" customFormat="1" ht="25.5" hidden="1" customHeight="1">
      <c r="A49" s="22" t="s">
        <v>69</v>
      </c>
      <c r="B49" s="3">
        <v>33812985</v>
      </c>
      <c r="C49" s="3" t="s">
        <v>70</v>
      </c>
      <c r="D49" s="3" t="s">
        <v>71</v>
      </c>
      <c r="E49" s="6">
        <v>10903463440</v>
      </c>
      <c r="F49" s="3" t="s">
        <v>91</v>
      </c>
      <c r="G49" s="64">
        <v>7</v>
      </c>
      <c r="H49" s="3" t="s">
        <v>153</v>
      </c>
      <c r="I49" s="41"/>
      <c r="J49" s="63" t="s">
        <v>77</v>
      </c>
      <c r="K49" s="57"/>
      <c r="L49" s="76">
        <v>0</v>
      </c>
      <c r="M49" s="81">
        <v>0</v>
      </c>
      <c r="N49" s="81">
        <f>(Tabela1[[#This Row],[SIMULADO 2 NOTA]]-Tabela1[[#This Row],[SIMULADO 1 - NOTA]])</f>
        <v>0</v>
      </c>
      <c r="O49" s="53"/>
      <c r="P49" s="53"/>
      <c r="Q49" s="53"/>
      <c r="R49" s="53"/>
      <c r="S49" s="53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34"/>
      <c r="BP49" s="22"/>
    </row>
    <row r="50" spans="1:68" s="3" customFormat="1" ht="25.5" hidden="1" customHeight="1">
      <c r="A50" s="22" t="s">
        <v>69</v>
      </c>
      <c r="B50" s="5">
        <v>33376824</v>
      </c>
      <c r="C50" s="3" t="s">
        <v>70</v>
      </c>
      <c r="D50" s="3" t="s">
        <v>71</v>
      </c>
      <c r="E50" s="6">
        <v>8000082438</v>
      </c>
      <c r="F50" s="3" t="s">
        <v>78</v>
      </c>
      <c r="G50" s="64">
        <v>7</v>
      </c>
      <c r="H50" s="3" t="s">
        <v>154</v>
      </c>
      <c r="I50" s="41"/>
      <c r="J50" s="63" t="s">
        <v>77</v>
      </c>
      <c r="K50" s="57"/>
      <c r="L50" s="76">
        <v>0</v>
      </c>
      <c r="M50" s="81">
        <v>0</v>
      </c>
      <c r="N50" s="81">
        <f>(Tabela1[[#This Row],[SIMULADO 2 NOTA]]-Tabela1[[#This Row],[SIMULADO 1 - NOTA]])</f>
        <v>0</v>
      </c>
      <c r="O50" s="69"/>
      <c r="P50" s="69"/>
      <c r="Q50" s="69"/>
      <c r="R50" s="69"/>
      <c r="S50" s="69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34"/>
      <c r="BP50" s="22"/>
    </row>
    <row r="51" spans="1:68" s="3" customFormat="1" ht="25.5" customHeight="1">
      <c r="A51" s="22" t="s">
        <v>69</v>
      </c>
      <c r="B51" s="3">
        <v>25489755</v>
      </c>
      <c r="C51" s="3" t="s">
        <v>70</v>
      </c>
      <c r="D51" s="3" t="s">
        <v>71</v>
      </c>
      <c r="E51" s="6">
        <v>6409990340</v>
      </c>
      <c r="F51" s="3" t="s">
        <v>72</v>
      </c>
      <c r="G51" s="64">
        <v>11</v>
      </c>
      <c r="H51" s="3" t="s">
        <v>155</v>
      </c>
      <c r="I51" s="41"/>
      <c r="J51" s="63" t="s">
        <v>77</v>
      </c>
      <c r="K51" s="58" t="s">
        <v>156</v>
      </c>
      <c r="L51" s="75">
        <v>64</v>
      </c>
      <c r="M51" s="82">
        <v>45</v>
      </c>
      <c r="N51" s="84">
        <f>(Tabela1[[#This Row],[SIMULADO 2 NOTA]]-Tabela1[[#This Row],[SIMULADO 1 - NOTA]])</f>
        <v>-19</v>
      </c>
      <c r="O51" s="78"/>
      <c r="P51" s="78"/>
      <c r="Q51" s="78"/>
      <c r="R51" s="78"/>
      <c r="S51" s="78"/>
      <c r="T51" s="68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34"/>
      <c r="BP51" s="22"/>
    </row>
    <row r="52" spans="1:68" s="3" customFormat="1" ht="25.5" hidden="1" customHeight="1">
      <c r="A52" s="22" t="s">
        <v>69</v>
      </c>
      <c r="B52" s="3">
        <v>29576016</v>
      </c>
      <c r="C52" s="3" t="s">
        <v>70</v>
      </c>
      <c r="D52" s="3" t="s">
        <v>71</v>
      </c>
      <c r="E52" s="6">
        <v>70519300440</v>
      </c>
      <c r="F52" s="3" t="s">
        <v>91</v>
      </c>
      <c r="G52" s="64">
        <v>9</v>
      </c>
      <c r="H52" s="15" t="s">
        <v>157</v>
      </c>
      <c r="I52" s="40" t="s">
        <v>74</v>
      </c>
      <c r="J52" s="63" t="s">
        <v>75</v>
      </c>
      <c r="K52" s="58" t="s">
        <v>158</v>
      </c>
      <c r="L52" s="75">
        <v>51</v>
      </c>
      <c r="M52" s="81">
        <v>26</v>
      </c>
      <c r="N52" s="84">
        <f>(Tabela1[[#This Row],[SIMULADO 2 NOTA]]-Tabela1[[#This Row],[SIMULADO 1 - NOTA]])</f>
        <v>-25</v>
      </c>
      <c r="O52" s="72"/>
      <c r="P52" s="72"/>
      <c r="Q52" s="72"/>
      <c r="R52" s="72"/>
      <c r="S52" s="72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34"/>
      <c r="BP52" s="22"/>
    </row>
    <row r="53" spans="1:68" s="3" customFormat="1" ht="25.5" hidden="1" customHeight="1">
      <c r="A53" s="22" t="s">
        <v>69</v>
      </c>
      <c r="B53" s="3">
        <v>32703350</v>
      </c>
      <c r="C53" s="3" t="s">
        <v>70</v>
      </c>
      <c r="D53" s="3" t="s">
        <v>71</v>
      </c>
      <c r="E53" s="6">
        <v>11062160401</v>
      </c>
      <c r="F53" s="3" t="s">
        <v>72</v>
      </c>
      <c r="G53" s="64">
        <v>7</v>
      </c>
      <c r="H53" s="3" t="s">
        <v>159</v>
      </c>
      <c r="I53" s="41"/>
      <c r="J53" s="63" t="s">
        <v>77</v>
      </c>
      <c r="K53" s="57"/>
      <c r="L53" s="76">
        <v>0</v>
      </c>
      <c r="M53" s="81">
        <v>35</v>
      </c>
      <c r="N53" s="79">
        <f>(Tabela1[[#This Row],[SIMULADO 2 NOTA]]-Tabela1[[#This Row],[SIMULADO 1 - NOTA]])</f>
        <v>35</v>
      </c>
      <c r="O53" s="69"/>
      <c r="P53" s="69"/>
      <c r="Q53" s="69"/>
      <c r="R53" s="69"/>
      <c r="S53" s="69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34"/>
      <c r="BP53" s="22"/>
    </row>
    <row r="54" spans="1:68" s="3" customFormat="1" ht="25.5" customHeight="1">
      <c r="A54" s="22" t="s">
        <v>69</v>
      </c>
      <c r="B54" s="3">
        <v>26379597</v>
      </c>
      <c r="C54" s="3" t="s">
        <v>70</v>
      </c>
      <c r="D54" s="3" t="s">
        <v>71</v>
      </c>
      <c r="E54" s="6">
        <v>12027097457</v>
      </c>
      <c r="F54" s="3" t="s">
        <v>82</v>
      </c>
      <c r="G54" s="64">
        <v>11</v>
      </c>
      <c r="H54" s="18" t="s">
        <v>160</v>
      </c>
      <c r="I54" s="43" t="s">
        <v>84</v>
      </c>
      <c r="J54" s="63" t="s">
        <v>77</v>
      </c>
      <c r="K54" s="58" t="s">
        <v>161</v>
      </c>
      <c r="L54" s="75">
        <v>49</v>
      </c>
      <c r="M54" s="82">
        <v>37</v>
      </c>
      <c r="N54" s="84">
        <f>(Tabela1[[#This Row],[SIMULADO 2 NOTA]]-Tabela1[[#This Row],[SIMULADO 1 - NOTA]])</f>
        <v>-12</v>
      </c>
      <c r="O54" s="78"/>
      <c r="P54" s="78"/>
      <c r="Q54" s="78"/>
      <c r="R54" s="78"/>
      <c r="S54" s="78"/>
      <c r="T54" s="68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34"/>
      <c r="BP54" s="22"/>
    </row>
    <row r="55" spans="1:68" s="3" customFormat="1" ht="25.5" customHeight="1">
      <c r="A55" s="22" t="s">
        <v>69</v>
      </c>
      <c r="B55" s="3">
        <v>25307096</v>
      </c>
      <c r="C55" s="3" t="s">
        <v>70</v>
      </c>
      <c r="D55" s="3" t="s">
        <v>71</v>
      </c>
      <c r="E55" s="6">
        <v>5980078304</v>
      </c>
      <c r="F55" s="3" t="s">
        <v>72</v>
      </c>
      <c r="G55" s="64">
        <v>11</v>
      </c>
      <c r="H55" s="18" t="s">
        <v>162</v>
      </c>
      <c r="I55" s="43" t="s">
        <v>84</v>
      </c>
      <c r="J55" s="63" t="s">
        <v>77</v>
      </c>
      <c r="K55" s="58" t="s">
        <v>137</v>
      </c>
      <c r="L55" s="75">
        <v>44</v>
      </c>
      <c r="M55" s="82">
        <v>39</v>
      </c>
      <c r="N55" s="84">
        <f>(Tabela1[[#This Row],[SIMULADO 2 NOTA]]-Tabela1[[#This Row],[SIMULADO 1 - NOTA]])</f>
        <v>-5</v>
      </c>
      <c r="O55" s="78"/>
      <c r="P55" s="78"/>
      <c r="Q55" s="78"/>
      <c r="R55" s="78"/>
      <c r="S55" s="78"/>
      <c r="T55" s="68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34"/>
      <c r="BP55" s="22"/>
    </row>
    <row r="56" spans="1:68" s="3" customFormat="1" ht="25.5" customHeight="1">
      <c r="A56" s="22" t="s">
        <v>69</v>
      </c>
      <c r="B56" s="3">
        <v>25070606</v>
      </c>
      <c r="C56" s="3" t="s">
        <v>70</v>
      </c>
      <c r="D56" s="3" t="s">
        <v>71</v>
      </c>
      <c r="E56" s="6">
        <v>8491189483</v>
      </c>
      <c r="F56" s="3" t="s">
        <v>72</v>
      </c>
      <c r="G56" s="64">
        <v>11</v>
      </c>
      <c r="H56" s="18" t="s">
        <v>163</v>
      </c>
      <c r="I56" s="43" t="s">
        <v>84</v>
      </c>
      <c r="J56" s="63" t="s">
        <v>77</v>
      </c>
      <c r="K56" s="58" t="s">
        <v>164</v>
      </c>
      <c r="L56" s="75">
        <v>27</v>
      </c>
      <c r="M56" s="82">
        <v>46</v>
      </c>
      <c r="N56" s="92">
        <f>(Tabela1[[#This Row],[SIMULADO 2 NOTA]]-Tabela1[[#This Row],[SIMULADO 1 - NOTA]])</f>
        <v>19</v>
      </c>
      <c r="O56" s="78"/>
      <c r="P56" s="78"/>
      <c r="Q56" s="78"/>
      <c r="R56" s="78"/>
      <c r="S56" s="78"/>
      <c r="T56" s="68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34"/>
      <c r="BP56" s="22"/>
    </row>
    <row r="57" spans="1:68" s="3" customFormat="1" ht="25.5" hidden="1" customHeight="1">
      <c r="A57" s="22" t="s">
        <v>69</v>
      </c>
      <c r="B57" s="3">
        <v>33824231</v>
      </c>
      <c r="C57" s="3" t="s">
        <v>70</v>
      </c>
      <c r="D57" s="3" t="s">
        <v>71</v>
      </c>
      <c r="E57" s="6">
        <v>1730170455</v>
      </c>
      <c r="F57" s="3" t="s">
        <v>72</v>
      </c>
      <c r="G57" s="64">
        <v>7</v>
      </c>
      <c r="H57" s="3" t="s">
        <v>165</v>
      </c>
      <c r="I57" s="41"/>
      <c r="J57" s="63" t="s">
        <v>77</v>
      </c>
      <c r="K57" s="57"/>
      <c r="L57" s="76">
        <v>0</v>
      </c>
      <c r="M57" s="81">
        <v>31</v>
      </c>
      <c r="N57" s="79">
        <f>(Tabela1[[#This Row],[SIMULADO 2 NOTA]]-Tabela1[[#This Row],[SIMULADO 1 - NOTA]])</f>
        <v>31</v>
      </c>
      <c r="O57" s="70"/>
      <c r="P57" s="70"/>
      <c r="Q57" s="70"/>
      <c r="R57" s="70"/>
      <c r="S57" s="70"/>
      <c r="T57" s="7"/>
      <c r="U57" s="7"/>
      <c r="V57" s="7"/>
      <c r="W57" s="7"/>
      <c r="X57" s="7"/>
      <c r="Y57" s="7"/>
      <c r="Z57" s="7">
        <v>4</v>
      </c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34"/>
      <c r="BP57" s="22"/>
    </row>
    <row r="58" spans="1:68" s="3" customFormat="1" ht="25.5" hidden="1" customHeight="1">
      <c r="A58" s="22" t="s">
        <v>69</v>
      </c>
      <c r="B58" s="5">
        <v>32738552</v>
      </c>
      <c r="C58" s="3" t="s">
        <v>70</v>
      </c>
      <c r="D58" s="3" t="s">
        <v>71</v>
      </c>
      <c r="E58" s="6">
        <v>14491933405</v>
      </c>
      <c r="F58" s="3" t="s">
        <v>78</v>
      </c>
      <c r="G58" s="64">
        <v>7</v>
      </c>
      <c r="H58" s="3" t="s">
        <v>166</v>
      </c>
      <c r="I58" s="41"/>
      <c r="J58" s="63" t="s">
        <v>77</v>
      </c>
      <c r="K58" s="57"/>
      <c r="L58" s="76">
        <v>0</v>
      </c>
      <c r="M58" s="81">
        <v>0</v>
      </c>
      <c r="N58" s="81">
        <f>(Tabela1[[#This Row],[SIMULADO 2 NOTA]]-Tabela1[[#This Row],[SIMULADO 1 - NOTA]])</f>
        <v>0</v>
      </c>
      <c r="O58" s="53"/>
      <c r="P58" s="53"/>
      <c r="Q58" s="53"/>
      <c r="R58" s="53"/>
      <c r="S58" s="53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34"/>
      <c r="BP58" s="22"/>
    </row>
    <row r="59" spans="1:68" s="3" customFormat="1" ht="25.5" customHeight="1">
      <c r="A59" s="22" t="s">
        <v>69</v>
      </c>
      <c r="B59" s="3">
        <v>34006541</v>
      </c>
      <c r="C59" s="3" t="s">
        <v>70</v>
      </c>
      <c r="D59" s="3" t="s">
        <v>71</v>
      </c>
      <c r="E59" s="6">
        <v>6279529410</v>
      </c>
      <c r="F59" s="3" t="s">
        <v>82</v>
      </c>
      <c r="G59" s="64">
        <v>9</v>
      </c>
      <c r="H59" s="15" t="s">
        <v>167</v>
      </c>
      <c r="I59" s="40" t="s">
        <v>74</v>
      </c>
      <c r="J59" s="63" t="s">
        <v>75</v>
      </c>
      <c r="K59" s="58" t="s">
        <v>168</v>
      </c>
      <c r="L59" s="75">
        <v>60</v>
      </c>
      <c r="M59" s="81">
        <v>57</v>
      </c>
      <c r="N59" s="84">
        <f>(Tabela1[[#This Row],[SIMULADO 2 NOTA]]-Tabela1[[#This Row],[SIMULADO 1 - NOTA]])</f>
        <v>-3</v>
      </c>
      <c r="O59" s="54"/>
      <c r="P59" s="54"/>
      <c r="Q59" s="54"/>
      <c r="R59" s="54"/>
      <c r="S59" s="54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34"/>
      <c r="BP59" s="22"/>
    </row>
    <row r="60" spans="1:68" s="3" customFormat="1" ht="25.5" customHeight="1">
      <c r="A60" s="22" t="s">
        <v>69</v>
      </c>
      <c r="B60" s="3">
        <v>25489232</v>
      </c>
      <c r="C60" s="3" t="s">
        <v>70</v>
      </c>
      <c r="D60" s="3" t="s">
        <v>71</v>
      </c>
      <c r="E60" s="6">
        <v>6708018446</v>
      </c>
      <c r="F60" s="3" t="s">
        <v>72</v>
      </c>
      <c r="G60" s="64">
        <v>11</v>
      </c>
      <c r="H60" s="18" t="s">
        <v>169</v>
      </c>
      <c r="I60" s="43" t="s">
        <v>84</v>
      </c>
      <c r="J60" s="63" t="s">
        <v>77</v>
      </c>
      <c r="K60" s="58" t="s">
        <v>170</v>
      </c>
      <c r="L60" s="75">
        <v>38</v>
      </c>
      <c r="M60" s="82">
        <v>33</v>
      </c>
      <c r="N60" s="84">
        <f>(Tabela1[[#This Row],[SIMULADO 2 NOTA]]-Tabela1[[#This Row],[SIMULADO 1 - NOTA]])</f>
        <v>-5</v>
      </c>
      <c r="O60" s="78"/>
      <c r="P60" s="78"/>
      <c r="Q60" s="78"/>
      <c r="R60" s="78"/>
      <c r="S60" s="78"/>
      <c r="T60" s="68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34"/>
      <c r="BP60" s="22"/>
    </row>
    <row r="61" spans="1:68" s="3" customFormat="1" ht="25.5" customHeight="1">
      <c r="A61" s="22" t="s">
        <v>69</v>
      </c>
      <c r="B61" s="3">
        <v>29020760</v>
      </c>
      <c r="C61" s="3" t="s">
        <v>70</v>
      </c>
      <c r="D61" s="3" t="s">
        <v>71</v>
      </c>
      <c r="E61" s="6">
        <v>9870037470</v>
      </c>
      <c r="F61" s="3" t="s">
        <v>72</v>
      </c>
      <c r="G61" s="64">
        <v>9</v>
      </c>
      <c r="H61" s="3" t="s">
        <v>171</v>
      </c>
      <c r="I61" s="41"/>
      <c r="J61" s="63" t="s">
        <v>75</v>
      </c>
      <c r="K61" s="58" t="s">
        <v>172</v>
      </c>
      <c r="L61" s="75">
        <v>65</v>
      </c>
      <c r="M61" s="81">
        <v>52</v>
      </c>
      <c r="N61" s="84">
        <f>(Tabela1[[#This Row],[SIMULADO 2 NOTA]]-Tabela1[[#This Row],[SIMULADO 1 - NOTA]])</f>
        <v>-13</v>
      </c>
      <c r="O61" s="71"/>
      <c r="P61" s="71"/>
      <c r="Q61" s="71"/>
      <c r="R61" s="71"/>
      <c r="S61" s="71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34"/>
      <c r="BP61" s="22"/>
    </row>
    <row r="62" spans="1:68" s="3" customFormat="1" ht="25.5" customHeight="1">
      <c r="A62" s="22" t="s">
        <v>69</v>
      </c>
      <c r="B62" s="3">
        <v>25489445</v>
      </c>
      <c r="C62" s="3" t="s">
        <v>70</v>
      </c>
      <c r="D62" s="3" t="s">
        <v>71</v>
      </c>
      <c r="E62" s="6">
        <v>9522537470</v>
      </c>
      <c r="F62" s="3" t="s">
        <v>82</v>
      </c>
      <c r="G62" s="64">
        <v>11</v>
      </c>
      <c r="H62" s="18" t="s">
        <v>173</v>
      </c>
      <c r="I62" s="43" t="s">
        <v>84</v>
      </c>
      <c r="J62" s="63" t="s">
        <v>77</v>
      </c>
      <c r="K62" s="58" t="s">
        <v>174</v>
      </c>
      <c r="L62" s="75">
        <v>46</v>
      </c>
      <c r="M62" s="82">
        <v>36</v>
      </c>
      <c r="N62" s="84">
        <f>(Tabela1[[#This Row],[SIMULADO 2 NOTA]]-Tabela1[[#This Row],[SIMULADO 1 - NOTA]])</f>
        <v>-10</v>
      </c>
      <c r="O62" s="78"/>
      <c r="P62" s="78"/>
      <c r="Q62" s="78"/>
      <c r="R62" s="78"/>
      <c r="S62" s="78"/>
      <c r="T62" s="68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34"/>
      <c r="BP62" s="22"/>
    </row>
    <row r="63" spans="1:68" s="3" customFormat="1" ht="25.5" hidden="1" customHeight="1">
      <c r="A63" s="22" t="s">
        <v>69</v>
      </c>
      <c r="B63" s="3">
        <v>25564684</v>
      </c>
      <c r="C63" s="3" t="s">
        <v>70</v>
      </c>
      <c r="D63" s="3" t="s">
        <v>71</v>
      </c>
      <c r="E63" s="6">
        <v>8321601480</v>
      </c>
      <c r="F63" s="3" t="s">
        <v>72</v>
      </c>
      <c r="G63" s="64">
        <v>11</v>
      </c>
      <c r="H63" s="3" t="s">
        <v>175</v>
      </c>
      <c r="I63" s="41"/>
      <c r="J63" s="63" t="s">
        <v>77</v>
      </c>
      <c r="K63" s="58" t="s">
        <v>104</v>
      </c>
      <c r="L63" s="75">
        <v>73</v>
      </c>
      <c r="M63" s="81">
        <v>0</v>
      </c>
      <c r="N63" s="84">
        <f>(Tabela1[[#This Row],[SIMULADO 2 NOTA]]-Tabela1[[#This Row],[SIMULADO 1 - NOTA]])</f>
        <v>-73</v>
      </c>
      <c r="O63" s="78"/>
      <c r="P63" s="78"/>
      <c r="Q63" s="78"/>
      <c r="R63" s="78"/>
      <c r="S63" s="78"/>
      <c r="T63" s="68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34"/>
      <c r="BP63" s="22"/>
    </row>
    <row r="64" spans="1:68" s="3" customFormat="1" ht="25.5" customHeight="1">
      <c r="A64" s="22" t="s">
        <v>69</v>
      </c>
      <c r="B64" s="3">
        <v>29021146</v>
      </c>
      <c r="C64" s="3" t="s">
        <v>70</v>
      </c>
      <c r="D64" s="3" t="s">
        <v>71</v>
      </c>
      <c r="E64" s="6">
        <v>7056085490</v>
      </c>
      <c r="F64" s="3" t="s">
        <v>91</v>
      </c>
      <c r="G64" s="64">
        <v>9</v>
      </c>
      <c r="H64" s="18" t="s">
        <v>176</v>
      </c>
      <c r="I64" s="43" t="s">
        <v>84</v>
      </c>
      <c r="J64" s="63" t="s">
        <v>75</v>
      </c>
      <c r="K64" s="58" t="s">
        <v>177</v>
      </c>
      <c r="L64" s="75">
        <v>44</v>
      </c>
      <c r="M64" s="81">
        <v>30</v>
      </c>
      <c r="N64" s="84">
        <f>(Tabela1[[#This Row],[SIMULADO 2 NOTA]]-Tabela1[[#This Row],[SIMULADO 1 - NOTA]])</f>
        <v>-14</v>
      </c>
      <c r="O64" s="72"/>
      <c r="P64" s="72"/>
      <c r="Q64" s="72"/>
      <c r="R64" s="72"/>
      <c r="S64" s="72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34"/>
      <c r="BP64" s="22"/>
    </row>
    <row r="65" spans="1:68" s="3" customFormat="1" ht="25.5" customHeight="1">
      <c r="A65" s="22" t="s">
        <v>69</v>
      </c>
      <c r="B65" s="3">
        <v>30585368</v>
      </c>
      <c r="C65" s="3" t="s">
        <v>70</v>
      </c>
      <c r="D65" s="3" t="s">
        <v>71</v>
      </c>
      <c r="E65" s="6">
        <v>8826252416</v>
      </c>
      <c r="F65" s="3" t="s">
        <v>82</v>
      </c>
      <c r="G65" s="64">
        <v>9</v>
      </c>
      <c r="H65" s="3" t="s">
        <v>178</v>
      </c>
      <c r="I65" s="41"/>
      <c r="J65" s="63" t="s">
        <v>75</v>
      </c>
      <c r="K65" s="58" t="s">
        <v>127</v>
      </c>
      <c r="L65" s="75">
        <v>66</v>
      </c>
      <c r="M65" s="81">
        <v>52</v>
      </c>
      <c r="N65" s="84">
        <f>(Tabela1[[#This Row],[SIMULADO 2 NOTA]]-Tabela1[[#This Row],[SIMULADO 1 - NOTA]])</f>
        <v>-14</v>
      </c>
      <c r="O65" s="52"/>
      <c r="P65" s="52"/>
      <c r="Q65" s="52"/>
      <c r="R65" s="52"/>
      <c r="S65" s="52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34"/>
      <c r="BP65" s="22"/>
    </row>
    <row r="66" spans="1:68" s="3" customFormat="1" ht="25.5" hidden="1" customHeight="1">
      <c r="A66" s="22" t="s">
        <v>69</v>
      </c>
      <c r="B66" s="3">
        <v>32643519</v>
      </c>
      <c r="C66" s="3" t="s">
        <v>70</v>
      </c>
      <c r="D66" s="3" t="s">
        <v>71</v>
      </c>
      <c r="E66" s="6">
        <v>7592409496</v>
      </c>
      <c r="F66" s="3" t="s">
        <v>72</v>
      </c>
      <c r="G66" s="64">
        <v>7</v>
      </c>
      <c r="H66" s="3" t="s">
        <v>179</v>
      </c>
      <c r="I66" s="41"/>
      <c r="J66" s="63" t="s">
        <v>77</v>
      </c>
      <c r="K66" s="57"/>
      <c r="L66" s="76">
        <v>0</v>
      </c>
      <c r="M66" s="81">
        <v>0</v>
      </c>
      <c r="N66" s="81">
        <f>(Tabela1[[#This Row],[SIMULADO 2 NOTA]]-Tabela1[[#This Row],[SIMULADO 1 - NOTA]])</f>
        <v>0</v>
      </c>
      <c r="O66" s="53"/>
      <c r="P66" s="53"/>
      <c r="Q66" s="53"/>
      <c r="R66" s="53"/>
      <c r="S66" s="53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34"/>
      <c r="BP66" s="22"/>
    </row>
    <row r="67" spans="1:68" s="3" customFormat="1" ht="25.5" customHeight="1">
      <c r="A67" s="22" t="s">
        <v>69</v>
      </c>
      <c r="B67" s="3">
        <v>30474949</v>
      </c>
      <c r="C67" s="3" t="s">
        <v>70</v>
      </c>
      <c r="D67" s="3" t="s">
        <v>71</v>
      </c>
      <c r="E67" s="6">
        <v>14375588446</v>
      </c>
      <c r="F67" s="3" t="s">
        <v>82</v>
      </c>
      <c r="G67" s="64">
        <v>9</v>
      </c>
      <c r="H67" s="15" t="s">
        <v>180</v>
      </c>
      <c r="I67" s="40" t="s">
        <v>74</v>
      </c>
      <c r="J67" s="63" t="s">
        <v>75</v>
      </c>
      <c r="K67" s="58" t="s">
        <v>181</v>
      </c>
      <c r="L67" s="75">
        <v>59</v>
      </c>
      <c r="M67" s="81">
        <v>58</v>
      </c>
      <c r="N67" s="79">
        <f>(Tabela1[[#This Row],[SIMULADO 2 NOTA]]-Tabela1[[#This Row],[SIMULADO 1 - NOTA]])</f>
        <v>-1</v>
      </c>
      <c r="O67" s="52"/>
      <c r="P67" s="52"/>
      <c r="Q67" s="52"/>
      <c r="R67" s="52"/>
      <c r="S67" s="52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34"/>
      <c r="BP67" s="22"/>
    </row>
    <row r="68" spans="1:68" s="3" customFormat="1" ht="25.5" customHeight="1">
      <c r="A68" s="22" t="s">
        <v>69</v>
      </c>
      <c r="B68" s="3">
        <v>28954076</v>
      </c>
      <c r="C68" s="3" t="s">
        <v>70</v>
      </c>
      <c r="D68" s="3" t="s">
        <v>71</v>
      </c>
      <c r="E68" s="6">
        <v>70269301410</v>
      </c>
      <c r="F68" s="3" t="s">
        <v>72</v>
      </c>
      <c r="G68" s="64">
        <v>9</v>
      </c>
      <c r="H68" s="15" t="s">
        <v>182</v>
      </c>
      <c r="I68" s="40" t="s">
        <v>74</v>
      </c>
      <c r="J68" s="63" t="s">
        <v>75</v>
      </c>
      <c r="K68" s="58" t="s">
        <v>183</v>
      </c>
      <c r="L68" s="75">
        <v>52</v>
      </c>
      <c r="M68" s="81">
        <v>39</v>
      </c>
      <c r="N68" s="84">
        <f>(Tabela1[[#This Row],[SIMULADO 2 NOTA]]-Tabela1[[#This Row],[SIMULADO 1 - NOTA]])</f>
        <v>-13</v>
      </c>
      <c r="O68" s="54"/>
      <c r="P68" s="54"/>
      <c r="Q68" s="54"/>
      <c r="R68" s="54"/>
      <c r="S68" s="54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34"/>
      <c r="BP68" s="22"/>
    </row>
    <row r="69" spans="1:68" s="3" customFormat="1" ht="25.5" customHeight="1">
      <c r="A69" s="22" t="s">
        <v>69</v>
      </c>
      <c r="B69" s="3">
        <v>25564820</v>
      </c>
      <c r="C69" s="3" t="s">
        <v>70</v>
      </c>
      <c r="D69" s="3" t="s">
        <v>71</v>
      </c>
      <c r="E69" s="6">
        <v>11331273471</v>
      </c>
      <c r="F69" s="3" t="s">
        <v>82</v>
      </c>
      <c r="G69" s="64">
        <v>11</v>
      </c>
      <c r="H69" s="15" t="s">
        <v>184</v>
      </c>
      <c r="I69" s="40" t="s">
        <v>74</v>
      </c>
      <c r="J69" s="63" t="s">
        <v>77</v>
      </c>
      <c r="K69" s="58" t="s">
        <v>185</v>
      </c>
      <c r="L69" s="75">
        <v>57</v>
      </c>
      <c r="M69" s="82">
        <v>50</v>
      </c>
      <c r="N69" s="84">
        <f>(Tabela1[[#This Row],[SIMULADO 2 NOTA]]-Tabela1[[#This Row],[SIMULADO 1 - NOTA]])</f>
        <v>-7</v>
      </c>
      <c r="O69" s="78"/>
      <c r="P69" s="78"/>
      <c r="Q69" s="78"/>
      <c r="R69" s="78"/>
      <c r="S69" s="78"/>
      <c r="T69" s="68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34"/>
      <c r="BP69" s="22"/>
    </row>
    <row r="70" spans="1:68" s="3" customFormat="1" ht="25.5" customHeight="1">
      <c r="A70" s="22" t="s">
        <v>69</v>
      </c>
      <c r="B70" s="3">
        <v>25571001</v>
      </c>
      <c r="C70" s="3" t="s">
        <v>70</v>
      </c>
      <c r="D70" s="3" t="s">
        <v>71</v>
      </c>
      <c r="E70" s="6">
        <v>6171936499</v>
      </c>
      <c r="F70" s="3" t="s">
        <v>72</v>
      </c>
      <c r="G70" s="64">
        <v>11</v>
      </c>
      <c r="H70" s="15" t="s">
        <v>186</v>
      </c>
      <c r="I70" s="40" t="s">
        <v>74</v>
      </c>
      <c r="J70" s="63" t="s">
        <v>77</v>
      </c>
      <c r="K70" s="58" t="s">
        <v>187</v>
      </c>
      <c r="L70" s="75">
        <v>59</v>
      </c>
      <c r="M70" s="82">
        <v>57</v>
      </c>
      <c r="N70" s="84">
        <f>(Tabela1[[#This Row],[SIMULADO 2 NOTA]]-Tabela1[[#This Row],[SIMULADO 1 - NOTA]])</f>
        <v>-2</v>
      </c>
      <c r="O70" s="78"/>
      <c r="P70" s="78"/>
      <c r="Q70" s="78"/>
      <c r="R70" s="78"/>
      <c r="S70" s="78"/>
      <c r="T70" s="68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34"/>
      <c r="BP70" s="22"/>
    </row>
    <row r="71" spans="1:68" s="3" customFormat="1" ht="25.5" hidden="1" customHeight="1">
      <c r="A71" s="22" t="s">
        <v>69</v>
      </c>
      <c r="B71" s="3">
        <v>28934113</v>
      </c>
      <c r="C71" s="3" t="s">
        <v>70</v>
      </c>
      <c r="D71" s="3" t="s">
        <v>71</v>
      </c>
      <c r="E71" s="6">
        <v>12163004457</v>
      </c>
      <c r="F71" s="3" t="s">
        <v>91</v>
      </c>
      <c r="G71" s="64">
        <v>9</v>
      </c>
      <c r="H71" s="3" t="s">
        <v>188</v>
      </c>
      <c r="I71" s="41"/>
      <c r="J71" s="63" t="s">
        <v>75</v>
      </c>
      <c r="K71" s="58" t="s">
        <v>189</v>
      </c>
      <c r="L71" s="76">
        <v>0</v>
      </c>
      <c r="M71" s="81">
        <v>0</v>
      </c>
      <c r="N71" s="81">
        <f>(Tabela1[[#This Row],[SIMULADO 2 NOTA]]-Tabela1[[#This Row],[SIMULADO 1 - NOTA]])</f>
        <v>0</v>
      </c>
      <c r="O71" s="70"/>
      <c r="P71" s="70"/>
      <c r="Q71" s="70"/>
      <c r="R71" s="70"/>
      <c r="S71" s="70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34"/>
      <c r="BP71" s="22"/>
    </row>
    <row r="72" spans="1:68" s="3" customFormat="1" ht="25.5" customHeight="1">
      <c r="A72" s="22" t="s">
        <v>69</v>
      </c>
      <c r="B72" s="3">
        <v>29591228</v>
      </c>
      <c r="C72" s="3" t="s">
        <v>70</v>
      </c>
      <c r="D72" s="3" t="s">
        <v>71</v>
      </c>
      <c r="E72" s="6">
        <v>71261641493</v>
      </c>
      <c r="F72" s="3" t="s">
        <v>78</v>
      </c>
      <c r="G72" s="64">
        <v>9</v>
      </c>
      <c r="H72" s="18" t="s">
        <v>190</v>
      </c>
      <c r="I72" s="43" t="s">
        <v>84</v>
      </c>
      <c r="J72" s="63" t="s">
        <v>75</v>
      </c>
      <c r="K72" s="58" t="s">
        <v>191</v>
      </c>
      <c r="L72" s="75">
        <v>40</v>
      </c>
      <c r="M72" s="81">
        <v>40</v>
      </c>
      <c r="N72" s="81">
        <f>(Tabela1[[#This Row],[SIMULADO 2 NOTA]]-Tabela1[[#This Row],[SIMULADO 1 - NOTA]])</f>
        <v>0</v>
      </c>
      <c r="O72" s="52"/>
      <c r="P72" s="52"/>
      <c r="Q72" s="52"/>
      <c r="R72" s="52"/>
      <c r="S72" s="52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34"/>
      <c r="BP72" s="22"/>
    </row>
    <row r="73" spans="1:68" s="3" customFormat="1" ht="25.5" customHeight="1">
      <c r="A73" s="22" t="s">
        <v>69</v>
      </c>
      <c r="B73" s="3">
        <v>32904428</v>
      </c>
      <c r="C73" s="3" t="s">
        <v>70</v>
      </c>
      <c r="D73" s="3" t="s">
        <v>71</v>
      </c>
      <c r="E73" s="6">
        <v>11035539411</v>
      </c>
      <c r="F73" s="3" t="s">
        <v>91</v>
      </c>
      <c r="G73" s="64">
        <v>7</v>
      </c>
      <c r="H73" s="3" t="s">
        <v>192</v>
      </c>
      <c r="I73" s="41"/>
      <c r="J73" s="63" t="s">
        <v>77</v>
      </c>
      <c r="K73" s="57"/>
      <c r="L73" s="76">
        <v>0</v>
      </c>
      <c r="M73" s="81">
        <v>49</v>
      </c>
      <c r="N73" s="79">
        <f>(Tabela1[[#This Row],[SIMULADO 2 NOTA]]-Tabela1[[#This Row],[SIMULADO 1 - NOTA]])</f>
        <v>49</v>
      </c>
      <c r="O73" s="53"/>
      <c r="P73" s="53"/>
      <c r="Q73" s="53"/>
      <c r="R73" s="53"/>
      <c r="S73" s="53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34"/>
      <c r="BP73" s="22"/>
    </row>
    <row r="74" spans="1:68" s="3" customFormat="1" ht="25.5" customHeight="1">
      <c r="A74" s="22" t="s">
        <v>69</v>
      </c>
      <c r="B74" s="3">
        <v>34772162</v>
      </c>
      <c r="C74" s="3" t="s">
        <v>70</v>
      </c>
      <c r="D74" s="3" t="s">
        <v>71</v>
      </c>
      <c r="E74" s="6">
        <v>7279394400</v>
      </c>
      <c r="F74" s="3" t="s">
        <v>91</v>
      </c>
      <c r="G74" s="64">
        <v>7</v>
      </c>
      <c r="H74" s="3" t="s">
        <v>193</v>
      </c>
      <c r="I74" s="41"/>
      <c r="J74" s="63" t="s">
        <v>77</v>
      </c>
      <c r="K74" s="57"/>
      <c r="L74" s="76">
        <v>0</v>
      </c>
      <c r="M74" s="81">
        <v>50</v>
      </c>
      <c r="N74" s="79">
        <f>(Tabela1[[#This Row],[SIMULADO 2 NOTA]]-Tabela1[[#This Row],[SIMULADO 1 - NOTA]])</f>
        <v>50</v>
      </c>
      <c r="O74" s="53"/>
      <c r="P74" s="53"/>
      <c r="Q74" s="53"/>
      <c r="R74" s="53"/>
      <c r="S74" s="53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34"/>
      <c r="BP74" s="22"/>
    </row>
    <row r="75" spans="1:68" s="3" customFormat="1" ht="25.5" customHeight="1">
      <c r="A75" s="22" t="s">
        <v>69</v>
      </c>
      <c r="B75" s="3">
        <v>32721358</v>
      </c>
      <c r="C75" s="3" t="s">
        <v>70</v>
      </c>
      <c r="D75" s="3" t="s">
        <v>71</v>
      </c>
      <c r="E75" s="6">
        <v>11112435492</v>
      </c>
      <c r="F75" s="3" t="s">
        <v>72</v>
      </c>
      <c r="G75" s="64">
        <v>7</v>
      </c>
      <c r="H75" s="3" t="s">
        <v>194</v>
      </c>
      <c r="I75" s="41"/>
      <c r="J75" s="63" t="s">
        <v>77</v>
      </c>
      <c r="K75" s="57"/>
      <c r="L75" s="76">
        <v>0</v>
      </c>
      <c r="M75" s="81">
        <v>42</v>
      </c>
      <c r="N75" s="79">
        <f>(Tabela1[[#This Row],[SIMULADO 2 NOTA]]-Tabela1[[#This Row],[SIMULADO 1 - NOTA]])</f>
        <v>42</v>
      </c>
      <c r="O75" s="69"/>
      <c r="P75" s="69"/>
      <c r="Q75" s="69"/>
      <c r="R75" s="69"/>
      <c r="S75" s="69"/>
      <c r="T75" s="7"/>
      <c r="U75" s="7"/>
      <c r="V75" s="7"/>
      <c r="W75" s="7"/>
      <c r="X75" s="7"/>
      <c r="Y75" s="7"/>
      <c r="Z75" s="7"/>
      <c r="AA75" s="7"/>
      <c r="AB75" s="7"/>
      <c r="AC75" s="7">
        <v>0</v>
      </c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34"/>
      <c r="BP75" s="22"/>
    </row>
    <row r="76" spans="1:68" s="3" customFormat="1" ht="25.5" customHeight="1">
      <c r="A76" s="22" t="s">
        <v>69</v>
      </c>
      <c r="B76" s="3">
        <v>31285333</v>
      </c>
      <c r="C76" s="3" t="s">
        <v>70</v>
      </c>
      <c r="D76" s="3" t="s">
        <v>71</v>
      </c>
      <c r="E76" s="6">
        <v>8040887488</v>
      </c>
      <c r="F76" s="3" t="s">
        <v>82</v>
      </c>
      <c r="G76" s="64">
        <v>11</v>
      </c>
      <c r="H76" s="3" t="s">
        <v>195</v>
      </c>
      <c r="I76" s="41"/>
      <c r="J76" s="63" t="s">
        <v>77</v>
      </c>
      <c r="K76" s="58" t="s">
        <v>196</v>
      </c>
      <c r="L76" s="75">
        <v>75</v>
      </c>
      <c r="M76" s="82">
        <v>60</v>
      </c>
      <c r="N76" s="84">
        <f>(Tabela1[[#This Row],[SIMULADO 2 NOTA]]-Tabela1[[#This Row],[SIMULADO 1 - NOTA]])</f>
        <v>-15</v>
      </c>
      <c r="O76" s="78"/>
      <c r="P76" s="78"/>
      <c r="Q76" s="78"/>
      <c r="R76" s="78"/>
      <c r="S76" s="78"/>
      <c r="T76" s="68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34"/>
      <c r="BP76" s="22"/>
    </row>
    <row r="77" spans="1:68" s="3" customFormat="1" ht="25.5" customHeight="1">
      <c r="A77" s="22" t="s">
        <v>69</v>
      </c>
      <c r="B77" s="3">
        <v>33415480</v>
      </c>
      <c r="C77" s="3" t="s">
        <v>70</v>
      </c>
      <c r="D77" s="3" t="s">
        <v>71</v>
      </c>
      <c r="E77" s="6">
        <v>10178892440</v>
      </c>
      <c r="F77" s="3" t="s">
        <v>82</v>
      </c>
      <c r="G77" s="64">
        <v>7</v>
      </c>
      <c r="H77" s="3" t="s">
        <v>197</v>
      </c>
      <c r="I77" s="41"/>
      <c r="J77" s="63" t="s">
        <v>77</v>
      </c>
      <c r="K77" s="57"/>
      <c r="L77" s="76">
        <v>0</v>
      </c>
      <c r="M77" s="81">
        <v>42</v>
      </c>
      <c r="N77" s="79">
        <f>(Tabela1[[#This Row],[SIMULADO 2 NOTA]]-Tabela1[[#This Row],[SIMULADO 1 - NOTA]])</f>
        <v>42</v>
      </c>
      <c r="O77" s="70"/>
      <c r="P77" s="70"/>
      <c r="Q77" s="70"/>
      <c r="R77" s="70"/>
      <c r="S77" s="70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34"/>
      <c r="BP77" s="22"/>
    </row>
    <row r="78" spans="1:68" s="3" customFormat="1" ht="25.5" customHeight="1">
      <c r="A78" s="22" t="s">
        <v>69</v>
      </c>
      <c r="B78" s="5">
        <v>34722751</v>
      </c>
      <c r="C78" s="3" t="s">
        <v>70</v>
      </c>
      <c r="D78" s="3" t="s">
        <v>71</v>
      </c>
      <c r="E78" s="6">
        <v>71139219499</v>
      </c>
      <c r="F78" s="3" t="s">
        <v>78</v>
      </c>
      <c r="G78" s="64">
        <v>7</v>
      </c>
      <c r="H78" s="3" t="s">
        <v>198</v>
      </c>
      <c r="I78" s="41"/>
      <c r="J78" s="63" t="s">
        <v>77</v>
      </c>
      <c r="K78" s="57"/>
      <c r="L78" s="76">
        <v>0</v>
      </c>
      <c r="M78" s="81">
        <v>58</v>
      </c>
      <c r="N78" s="79">
        <f>(Tabela1[[#This Row],[SIMULADO 2 NOTA]]-Tabela1[[#This Row],[SIMULADO 1 - NOTA]])</f>
        <v>58</v>
      </c>
      <c r="O78" s="53"/>
      <c r="P78" s="53"/>
      <c r="Q78" s="53"/>
      <c r="R78" s="53"/>
      <c r="S78" s="53"/>
      <c r="T78" s="7"/>
      <c r="U78" s="7"/>
      <c r="V78" s="7" t="s">
        <v>87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34"/>
      <c r="BP78" s="22"/>
    </row>
    <row r="79" spans="1:68" s="3" customFormat="1" ht="25.5" customHeight="1">
      <c r="A79" s="22" t="s">
        <v>69</v>
      </c>
      <c r="B79" s="3">
        <v>32767889</v>
      </c>
      <c r="C79" s="3" t="s">
        <v>70</v>
      </c>
      <c r="D79" s="3" t="s">
        <v>71</v>
      </c>
      <c r="E79" s="6">
        <v>6806097170</v>
      </c>
      <c r="F79" s="3" t="s">
        <v>91</v>
      </c>
      <c r="G79" s="64">
        <v>7</v>
      </c>
      <c r="H79" s="3" t="s">
        <v>199</v>
      </c>
      <c r="I79" s="41"/>
      <c r="J79" s="63" t="s">
        <v>77</v>
      </c>
      <c r="K79" s="57"/>
      <c r="L79" s="76">
        <v>0</v>
      </c>
      <c r="M79" s="81">
        <v>47</v>
      </c>
      <c r="N79" s="79">
        <f>(Tabela1[[#This Row],[SIMULADO 2 NOTA]]-Tabela1[[#This Row],[SIMULADO 1 - NOTA]])</f>
        <v>47</v>
      </c>
      <c r="O79" s="69"/>
      <c r="P79" s="69"/>
      <c r="Q79" s="69"/>
      <c r="R79" s="69"/>
      <c r="S79" s="69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34"/>
      <c r="BP79" s="22"/>
    </row>
    <row r="80" spans="1:68" s="3" customFormat="1" ht="25.5" customHeight="1">
      <c r="A80" s="22" t="s">
        <v>69</v>
      </c>
      <c r="B80" s="3">
        <v>25491466</v>
      </c>
      <c r="C80" s="3" t="s">
        <v>70</v>
      </c>
      <c r="D80" s="3" t="s">
        <v>71</v>
      </c>
      <c r="E80" s="6">
        <v>11532279400</v>
      </c>
      <c r="F80" s="3" t="s">
        <v>72</v>
      </c>
      <c r="G80" s="64">
        <v>11</v>
      </c>
      <c r="H80" s="3" t="s">
        <v>200</v>
      </c>
      <c r="I80" s="41"/>
      <c r="J80" s="63" t="s">
        <v>77</v>
      </c>
      <c r="K80" s="58" t="s">
        <v>141</v>
      </c>
      <c r="L80" s="75">
        <v>82</v>
      </c>
      <c r="M80" s="82">
        <v>64</v>
      </c>
      <c r="N80" s="84">
        <f>(Tabela1[[#This Row],[SIMULADO 2 NOTA]]-Tabela1[[#This Row],[SIMULADO 1 - NOTA]])</f>
        <v>-18</v>
      </c>
      <c r="O80" s="78"/>
      <c r="P80" s="78"/>
      <c r="Q80" s="78"/>
      <c r="R80" s="78"/>
      <c r="S80" s="78"/>
      <c r="T80" s="68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34"/>
      <c r="BP80" s="22"/>
    </row>
    <row r="81" spans="1:68" s="3" customFormat="1" ht="25.5" customHeight="1">
      <c r="A81" s="22" t="s">
        <v>69</v>
      </c>
      <c r="B81" s="3">
        <v>30556899</v>
      </c>
      <c r="C81" s="3" t="s">
        <v>70</v>
      </c>
      <c r="D81" s="3" t="s">
        <v>71</v>
      </c>
      <c r="E81" s="6">
        <v>6881193440</v>
      </c>
      <c r="F81" s="3" t="s">
        <v>72</v>
      </c>
      <c r="G81" s="64">
        <v>9</v>
      </c>
      <c r="H81" s="15" t="s">
        <v>201</v>
      </c>
      <c r="I81" s="40" t="s">
        <v>74</v>
      </c>
      <c r="J81" s="63" t="s">
        <v>75</v>
      </c>
      <c r="K81" s="58" t="s">
        <v>152</v>
      </c>
      <c r="L81" s="75">
        <v>54</v>
      </c>
      <c r="M81" s="81">
        <v>36</v>
      </c>
      <c r="N81" s="84">
        <f>(Tabela1[[#This Row],[SIMULADO 2 NOTA]]-Tabela1[[#This Row],[SIMULADO 1 - NOTA]])</f>
        <v>-18</v>
      </c>
      <c r="O81" s="72"/>
      <c r="P81" s="72"/>
      <c r="Q81" s="72"/>
      <c r="R81" s="72"/>
      <c r="S81" s="72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34"/>
      <c r="BP81" s="22"/>
    </row>
    <row r="82" spans="1:68" s="3" customFormat="1" ht="25.5" hidden="1" customHeight="1">
      <c r="A82" s="22" t="s">
        <v>69</v>
      </c>
      <c r="B82" s="3">
        <v>32814861</v>
      </c>
      <c r="C82" s="3" t="s">
        <v>70</v>
      </c>
      <c r="D82" s="3" t="s">
        <v>71</v>
      </c>
      <c r="E82" s="6">
        <v>10511436408</v>
      </c>
      <c r="F82" s="3" t="s">
        <v>82</v>
      </c>
      <c r="G82" s="64">
        <v>7</v>
      </c>
      <c r="H82" s="3" t="s">
        <v>202</v>
      </c>
      <c r="I82" s="41"/>
      <c r="J82" s="63" t="s">
        <v>77</v>
      </c>
      <c r="K82" s="57"/>
      <c r="L82" s="76">
        <v>0</v>
      </c>
      <c r="M82" s="81">
        <v>0</v>
      </c>
      <c r="N82" s="81">
        <f>(Tabela1[[#This Row],[SIMULADO 2 NOTA]]-Tabela1[[#This Row],[SIMULADO 1 - NOTA]])</f>
        <v>0</v>
      </c>
      <c r="O82" s="53"/>
      <c r="P82" s="53"/>
      <c r="Q82" s="53"/>
      <c r="R82" s="53"/>
      <c r="S82" s="53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34"/>
      <c r="BP82" s="22"/>
    </row>
    <row r="83" spans="1:68" s="3" customFormat="1" ht="25.5" customHeight="1">
      <c r="A83" s="22" t="s">
        <v>69</v>
      </c>
      <c r="B83" s="3">
        <v>34033599</v>
      </c>
      <c r="C83" s="3" t="s">
        <v>70</v>
      </c>
      <c r="D83" s="3" t="s">
        <v>71</v>
      </c>
      <c r="E83" s="6">
        <v>11877373486</v>
      </c>
      <c r="F83" s="3" t="s">
        <v>82</v>
      </c>
      <c r="G83" s="64">
        <v>7</v>
      </c>
      <c r="H83" s="3" t="s">
        <v>203</v>
      </c>
      <c r="I83" s="41"/>
      <c r="J83" s="63" t="s">
        <v>77</v>
      </c>
      <c r="K83" s="57"/>
      <c r="L83" s="76">
        <v>0</v>
      </c>
      <c r="M83" s="81">
        <v>28</v>
      </c>
      <c r="N83" s="79">
        <f>(Tabela1[[#This Row],[SIMULADO 2 NOTA]]-Tabela1[[#This Row],[SIMULADO 1 - NOTA]])</f>
        <v>28</v>
      </c>
      <c r="O83" s="69"/>
      <c r="P83" s="69"/>
      <c r="Q83" s="69"/>
      <c r="R83" s="69"/>
      <c r="S83" s="69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34"/>
      <c r="BP83" s="22"/>
    </row>
    <row r="84" spans="1:68" s="3" customFormat="1" ht="25.5" customHeight="1">
      <c r="A84" s="22" t="s">
        <v>69</v>
      </c>
      <c r="B84" s="3">
        <v>27819329</v>
      </c>
      <c r="C84" s="3" t="s">
        <v>70</v>
      </c>
      <c r="D84" s="3" t="s">
        <v>71</v>
      </c>
      <c r="E84" s="6">
        <v>5651777458</v>
      </c>
      <c r="F84" s="3" t="s">
        <v>72</v>
      </c>
      <c r="G84" s="64">
        <v>11</v>
      </c>
      <c r="H84" s="3" t="s">
        <v>204</v>
      </c>
      <c r="I84" s="41"/>
      <c r="J84" s="63" t="s">
        <v>77</v>
      </c>
      <c r="K84" s="58" t="s">
        <v>205</v>
      </c>
      <c r="L84" s="75">
        <v>73</v>
      </c>
      <c r="M84" s="82">
        <v>54</v>
      </c>
      <c r="N84" s="84">
        <f>(Tabela1[[#This Row],[SIMULADO 2 NOTA]]-Tabela1[[#This Row],[SIMULADO 1 - NOTA]])</f>
        <v>-19</v>
      </c>
      <c r="O84" s="78"/>
      <c r="P84" s="78"/>
      <c r="Q84" s="78"/>
      <c r="R84" s="78"/>
      <c r="S84" s="78"/>
      <c r="T84" s="68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34"/>
      <c r="BP84" s="22"/>
    </row>
    <row r="85" spans="1:68" s="3" customFormat="1" ht="25.5" customHeight="1">
      <c r="A85" s="22" t="s">
        <v>69</v>
      </c>
      <c r="B85" s="3">
        <v>26394201</v>
      </c>
      <c r="C85" s="3" t="s">
        <v>70</v>
      </c>
      <c r="D85" s="3" t="s">
        <v>71</v>
      </c>
      <c r="E85" s="6">
        <v>46136167867</v>
      </c>
      <c r="F85" s="3" t="s">
        <v>82</v>
      </c>
      <c r="G85" s="64">
        <v>11</v>
      </c>
      <c r="H85" s="18" t="s">
        <v>206</v>
      </c>
      <c r="I85" s="43" t="s">
        <v>84</v>
      </c>
      <c r="J85" s="63" t="s">
        <v>77</v>
      </c>
      <c r="K85" s="58" t="s">
        <v>207</v>
      </c>
      <c r="L85" s="75">
        <v>47</v>
      </c>
      <c r="M85" s="82">
        <v>28</v>
      </c>
      <c r="N85" s="84">
        <f>(Tabela1[[#This Row],[SIMULADO 2 NOTA]]-Tabela1[[#This Row],[SIMULADO 1 - NOTA]])</f>
        <v>-19</v>
      </c>
      <c r="O85" s="78"/>
      <c r="P85" s="78"/>
      <c r="Q85" s="78"/>
      <c r="R85" s="78"/>
      <c r="S85" s="78"/>
      <c r="T85" s="68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34"/>
      <c r="BP85" s="22"/>
    </row>
    <row r="86" spans="1:68" s="3" customFormat="1" ht="25.5" customHeight="1">
      <c r="A86" s="22" t="s">
        <v>69</v>
      </c>
      <c r="B86" s="3">
        <v>28958047</v>
      </c>
      <c r="C86" s="3" t="s">
        <v>70</v>
      </c>
      <c r="D86" s="3" t="s">
        <v>71</v>
      </c>
      <c r="E86" s="6">
        <v>12794687425</v>
      </c>
      <c r="F86" s="3" t="s">
        <v>78</v>
      </c>
      <c r="G86" s="64">
        <v>9</v>
      </c>
      <c r="H86" s="18" t="s">
        <v>208</v>
      </c>
      <c r="I86" s="43" t="s">
        <v>84</v>
      </c>
      <c r="J86" s="63" t="s">
        <v>75</v>
      </c>
      <c r="K86" s="58" t="s">
        <v>209</v>
      </c>
      <c r="L86" s="75">
        <v>45</v>
      </c>
      <c r="M86" s="81">
        <v>37</v>
      </c>
      <c r="N86" s="84">
        <f>(Tabela1[[#This Row],[SIMULADO 2 NOTA]]-Tabela1[[#This Row],[SIMULADO 1 - NOTA]])</f>
        <v>-8</v>
      </c>
      <c r="O86" s="72"/>
      <c r="P86" s="72"/>
      <c r="Q86" s="72"/>
      <c r="R86" s="72"/>
      <c r="S86" s="72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34"/>
      <c r="BP86" s="22"/>
    </row>
    <row r="87" spans="1:68" s="3" customFormat="1" ht="25.5" hidden="1" customHeight="1">
      <c r="A87" s="22" t="s">
        <v>69</v>
      </c>
      <c r="B87" s="3">
        <v>33099618</v>
      </c>
      <c r="C87" s="3" t="s">
        <v>70</v>
      </c>
      <c r="D87" s="3" t="s">
        <v>71</v>
      </c>
      <c r="E87" s="6">
        <v>3972153473</v>
      </c>
      <c r="F87" s="3" t="s">
        <v>82</v>
      </c>
      <c r="G87" s="64">
        <v>7</v>
      </c>
      <c r="H87" s="3" t="s">
        <v>210</v>
      </c>
      <c r="I87" s="41"/>
      <c r="J87" s="63" t="s">
        <v>77</v>
      </c>
      <c r="K87" s="57"/>
      <c r="L87" s="76">
        <v>0</v>
      </c>
      <c r="M87" s="81">
        <v>0</v>
      </c>
      <c r="N87" s="81">
        <f>(Tabela1[[#This Row],[SIMULADO 2 NOTA]]-Tabela1[[#This Row],[SIMULADO 1 - NOTA]])</f>
        <v>0</v>
      </c>
      <c r="O87" s="69"/>
      <c r="P87" s="69"/>
      <c r="Q87" s="69"/>
      <c r="R87" s="69"/>
      <c r="S87" s="69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34"/>
      <c r="BP87" s="22"/>
    </row>
    <row r="88" spans="1:68" s="3" customFormat="1" ht="25.5" customHeight="1">
      <c r="A88" s="22" t="s">
        <v>69</v>
      </c>
      <c r="B88" s="3">
        <v>25565052</v>
      </c>
      <c r="C88" s="3" t="s">
        <v>70</v>
      </c>
      <c r="D88" s="3" t="s">
        <v>71</v>
      </c>
      <c r="E88" s="6">
        <v>8837407459</v>
      </c>
      <c r="F88" s="3" t="s">
        <v>82</v>
      </c>
      <c r="G88" s="64">
        <v>11</v>
      </c>
      <c r="H88" s="3" t="s">
        <v>211</v>
      </c>
      <c r="I88" s="41"/>
      <c r="J88" s="63" t="s">
        <v>77</v>
      </c>
      <c r="K88" s="58" t="s">
        <v>212</v>
      </c>
      <c r="L88" s="75">
        <v>74</v>
      </c>
      <c r="M88" s="82">
        <v>58</v>
      </c>
      <c r="N88" s="84">
        <f>(Tabela1[[#This Row],[SIMULADO 2 NOTA]]-Tabela1[[#This Row],[SIMULADO 1 - NOTA]])</f>
        <v>-16</v>
      </c>
      <c r="O88" s="78"/>
      <c r="P88" s="78"/>
      <c r="Q88" s="78"/>
      <c r="R88" s="78"/>
      <c r="S88" s="78"/>
      <c r="T88" s="68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34"/>
      <c r="BP88" s="22"/>
    </row>
    <row r="89" spans="1:68" s="3" customFormat="1" ht="25.5" hidden="1" customHeight="1">
      <c r="A89" s="22" t="s">
        <v>69</v>
      </c>
      <c r="B89" s="3">
        <v>25459279</v>
      </c>
      <c r="C89" s="3" t="s">
        <v>70</v>
      </c>
      <c r="D89" s="3" t="s">
        <v>71</v>
      </c>
      <c r="E89" s="6">
        <v>2656927250</v>
      </c>
      <c r="F89" s="3" t="s">
        <v>72</v>
      </c>
      <c r="G89" s="64">
        <v>11</v>
      </c>
      <c r="H89" s="18" t="s">
        <v>213</v>
      </c>
      <c r="I89" s="43" t="s">
        <v>84</v>
      </c>
      <c r="J89" s="63" t="s">
        <v>77</v>
      </c>
      <c r="K89" s="58" t="s">
        <v>214</v>
      </c>
      <c r="L89" s="75">
        <v>45</v>
      </c>
      <c r="M89" s="81">
        <v>0</v>
      </c>
      <c r="N89" s="84">
        <f>(Tabela1[[#This Row],[SIMULADO 2 NOTA]]-Tabela1[[#This Row],[SIMULADO 1 - NOTA]])</f>
        <v>-45</v>
      </c>
      <c r="O89" s="78"/>
      <c r="P89" s="78"/>
      <c r="Q89" s="78"/>
      <c r="R89" s="78"/>
      <c r="S89" s="78"/>
      <c r="T89" s="68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34"/>
      <c r="BP89" s="22"/>
    </row>
    <row r="90" spans="1:68" s="3" customFormat="1" ht="25.5" customHeight="1">
      <c r="A90" s="22" t="s">
        <v>69</v>
      </c>
      <c r="B90" s="3">
        <v>33950148</v>
      </c>
      <c r="C90" s="3" t="s">
        <v>70</v>
      </c>
      <c r="D90" s="3" t="s">
        <v>71</v>
      </c>
      <c r="E90" s="6">
        <v>1201302463</v>
      </c>
      <c r="F90" s="3" t="s">
        <v>82</v>
      </c>
      <c r="G90" s="64">
        <v>9</v>
      </c>
      <c r="H90" s="3" t="s">
        <v>215</v>
      </c>
      <c r="I90" s="41"/>
      <c r="J90" s="63" t="s">
        <v>75</v>
      </c>
      <c r="K90" s="58" t="s">
        <v>216</v>
      </c>
      <c r="L90" s="75">
        <v>67</v>
      </c>
      <c r="M90" s="81">
        <v>51</v>
      </c>
      <c r="N90" s="84">
        <f>(Tabela1[[#This Row],[SIMULADO 2 NOTA]]-Tabela1[[#This Row],[SIMULADO 1 - NOTA]])</f>
        <v>-16</v>
      </c>
      <c r="O90" s="72"/>
      <c r="P90" s="72"/>
      <c r="Q90" s="72"/>
      <c r="R90" s="72"/>
      <c r="S90" s="72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34"/>
      <c r="BP90" s="22"/>
    </row>
    <row r="91" spans="1:68" s="3" customFormat="1" ht="25.5" customHeight="1">
      <c r="A91" s="22" t="s">
        <v>69</v>
      </c>
      <c r="B91" s="5">
        <v>34694366</v>
      </c>
      <c r="C91" s="3" t="s">
        <v>70</v>
      </c>
      <c r="D91" s="3" t="s">
        <v>71</v>
      </c>
      <c r="E91" s="6">
        <v>12363799429</v>
      </c>
      <c r="F91" s="3" t="s">
        <v>78</v>
      </c>
      <c r="G91" s="64">
        <v>7</v>
      </c>
      <c r="H91" s="3" t="s">
        <v>217</v>
      </c>
      <c r="I91" s="41"/>
      <c r="J91" s="63" t="s">
        <v>77</v>
      </c>
      <c r="K91" s="57"/>
      <c r="L91" s="76">
        <v>0</v>
      </c>
      <c r="M91" s="81">
        <v>49</v>
      </c>
      <c r="N91" s="79">
        <f>(Tabela1[[#This Row],[SIMULADO 2 NOTA]]-Tabela1[[#This Row],[SIMULADO 1 - NOTA]])</f>
        <v>49</v>
      </c>
      <c r="O91" s="53"/>
      <c r="P91" s="53"/>
      <c r="Q91" s="53"/>
      <c r="R91" s="53"/>
      <c r="S91" s="53"/>
      <c r="T91" s="7"/>
      <c r="U91" s="7"/>
      <c r="V91" s="7" t="s">
        <v>87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34"/>
      <c r="BP91" s="22"/>
    </row>
    <row r="92" spans="1:68" s="3" customFormat="1" ht="25.5" customHeight="1">
      <c r="A92" s="22" t="s">
        <v>69</v>
      </c>
      <c r="B92" s="3">
        <v>32704275</v>
      </c>
      <c r="C92" s="3" t="s">
        <v>70</v>
      </c>
      <c r="D92" s="3" t="s">
        <v>71</v>
      </c>
      <c r="E92" s="6">
        <v>70569616492</v>
      </c>
      <c r="F92" s="3" t="s">
        <v>82</v>
      </c>
      <c r="G92" s="64">
        <v>7</v>
      </c>
      <c r="H92" s="8" t="s">
        <v>218</v>
      </c>
      <c r="I92" s="42" t="s">
        <v>80</v>
      </c>
      <c r="J92" s="63" t="s">
        <v>77</v>
      </c>
      <c r="K92" s="58" t="s">
        <v>219</v>
      </c>
      <c r="L92" s="76">
        <v>0</v>
      </c>
      <c r="M92" s="81">
        <v>33</v>
      </c>
      <c r="N92" s="79">
        <f>(Tabela1[[#This Row],[SIMULADO 2 NOTA]]-Tabela1[[#This Row],[SIMULADO 1 - NOTA]])</f>
        <v>33</v>
      </c>
      <c r="O92" s="53"/>
      <c r="P92" s="53"/>
      <c r="Q92" s="53"/>
      <c r="R92" s="53"/>
      <c r="S92" s="53"/>
      <c r="T92" s="7"/>
      <c r="U92" s="7"/>
      <c r="V92" s="7"/>
      <c r="W92" s="7"/>
      <c r="X92" s="7">
        <v>4.5</v>
      </c>
      <c r="Y92" s="7">
        <v>4.5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34"/>
      <c r="BP92" s="22"/>
    </row>
    <row r="93" spans="1:68" s="3" customFormat="1" ht="25.5" customHeight="1">
      <c r="A93" s="22" t="s">
        <v>69</v>
      </c>
      <c r="B93" s="3">
        <v>32690789</v>
      </c>
      <c r="C93" s="3" t="s">
        <v>70</v>
      </c>
      <c r="D93" s="3" t="s">
        <v>71</v>
      </c>
      <c r="E93" s="6">
        <v>71160160406</v>
      </c>
      <c r="F93" s="3" t="s">
        <v>72</v>
      </c>
      <c r="G93" s="64">
        <v>7</v>
      </c>
      <c r="H93" s="3" t="s">
        <v>220</v>
      </c>
      <c r="I93" s="41"/>
      <c r="J93" s="63" t="s">
        <v>77</v>
      </c>
      <c r="K93" s="57"/>
      <c r="L93" s="76">
        <v>0</v>
      </c>
      <c r="M93" s="81">
        <v>34</v>
      </c>
      <c r="N93" s="79">
        <f>(Tabela1[[#This Row],[SIMULADO 2 NOTA]]-Tabela1[[#This Row],[SIMULADO 1 - NOTA]])</f>
        <v>34</v>
      </c>
      <c r="O93" s="53"/>
      <c r="P93" s="53"/>
      <c r="Q93" s="53"/>
      <c r="R93" s="53"/>
      <c r="S93" s="53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34"/>
      <c r="BP93" s="22"/>
    </row>
    <row r="94" spans="1:68" s="3" customFormat="1" ht="25.5" hidden="1" customHeight="1">
      <c r="A94" s="22" t="s">
        <v>69</v>
      </c>
      <c r="B94" s="3">
        <v>28992334</v>
      </c>
      <c r="C94" s="3" t="s">
        <v>70</v>
      </c>
      <c r="D94" s="3" t="s">
        <v>71</v>
      </c>
      <c r="E94" s="6">
        <v>4958919406</v>
      </c>
      <c r="F94" s="3" t="s">
        <v>82</v>
      </c>
      <c r="G94" s="64">
        <v>9</v>
      </c>
      <c r="H94" s="15" t="s">
        <v>221</v>
      </c>
      <c r="I94" s="40" t="s">
        <v>74</v>
      </c>
      <c r="J94" s="63" t="s">
        <v>75</v>
      </c>
      <c r="K94" s="58" t="s">
        <v>222</v>
      </c>
      <c r="L94" s="75">
        <v>53</v>
      </c>
      <c r="M94" s="81">
        <v>35</v>
      </c>
      <c r="N94" s="84">
        <f>(Tabela1[[#This Row],[SIMULADO 2 NOTA]]-Tabela1[[#This Row],[SIMULADO 1 - NOTA]])</f>
        <v>-18</v>
      </c>
      <c r="O94" s="54"/>
      <c r="P94" s="54"/>
      <c r="Q94" s="54"/>
      <c r="R94" s="54"/>
      <c r="S94" s="54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34"/>
      <c r="BP94" s="22"/>
    </row>
    <row r="95" spans="1:68" s="3" customFormat="1" ht="25.5" customHeight="1">
      <c r="A95" s="22" t="s">
        <v>69</v>
      </c>
      <c r="B95" s="3">
        <v>25564838</v>
      </c>
      <c r="C95" s="3" t="s">
        <v>70</v>
      </c>
      <c r="D95" s="3" t="s">
        <v>71</v>
      </c>
      <c r="E95" s="6">
        <v>8004054471</v>
      </c>
      <c r="F95" s="3" t="s">
        <v>72</v>
      </c>
      <c r="G95" s="64">
        <v>11</v>
      </c>
      <c r="H95" s="18" t="s">
        <v>223</v>
      </c>
      <c r="I95" s="43" t="s">
        <v>84</v>
      </c>
      <c r="J95" s="63" t="s">
        <v>77</v>
      </c>
      <c r="K95" s="58" t="s">
        <v>224</v>
      </c>
      <c r="L95" s="75">
        <v>36</v>
      </c>
      <c r="M95" s="82">
        <v>27</v>
      </c>
      <c r="N95" s="84">
        <f>(Tabela1[[#This Row],[SIMULADO 2 NOTA]]-Tabela1[[#This Row],[SIMULADO 1 - NOTA]])</f>
        <v>-9</v>
      </c>
      <c r="O95" s="78"/>
      <c r="P95" s="78"/>
      <c r="Q95" s="78"/>
      <c r="R95" s="78"/>
      <c r="S95" s="78"/>
      <c r="T95" s="68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34"/>
      <c r="BP95" s="22"/>
    </row>
    <row r="96" spans="1:68" s="3" customFormat="1" ht="25.5" customHeight="1">
      <c r="A96" s="22" t="s">
        <v>69</v>
      </c>
      <c r="B96" s="3">
        <v>25497863</v>
      </c>
      <c r="C96" s="3" t="s">
        <v>70</v>
      </c>
      <c r="D96" s="3" t="s">
        <v>71</v>
      </c>
      <c r="E96" s="6">
        <v>12370455411</v>
      </c>
      <c r="F96" s="3" t="s">
        <v>72</v>
      </c>
      <c r="G96" s="64">
        <v>11</v>
      </c>
      <c r="H96" s="15" t="s">
        <v>225</v>
      </c>
      <c r="I96" s="40" t="s">
        <v>74</v>
      </c>
      <c r="J96" s="63" t="s">
        <v>77</v>
      </c>
      <c r="K96" s="58" t="s">
        <v>141</v>
      </c>
      <c r="L96" s="75">
        <v>58</v>
      </c>
      <c r="M96" s="82">
        <v>45</v>
      </c>
      <c r="N96" s="84">
        <f>(Tabela1[[#This Row],[SIMULADO 2 NOTA]]-Tabela1[[#This Row],[SIMULADO 1 - NOTA]])</f>
        <v>-13</v>
      </c>
      <c r="O96" s="78"/>
      <c r="P96" s="78"/>
      <c r="Q96" s="78"/>
      <c r="R96" s="78"/>
      <c r="S96" s="78"/>
      <c r="T96" s="68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34"/>
      <c r="BP96" s="22"/>
    </row>
    <row r="97" spans="1:68" s="3" customFormat="1" ht="25.5" customHeight="1">
      <c r="A97" s="22" t="s">
        <v>69</v>
      </c>
      <c r="B97" s="3">
        <v>25489887</v>
      </c>
      <c r="C97" s="3" t="s">
        <v>70</v>
      </c>
      <c r="D97" s="3" t="s">
        <v>71</v>
      </c>
      <c r="E97" s="6">
        <v>12626482463</v>
      </c>
      <c r="F97" s="3" t="s">
        <v>91</v>
      </c>
      <c r="G97" s="64">
        <v>7</v>
      </c>
      <c r="H97" s="3" t="s">
        <v>226</v>
      </c>
      <c r="I97" s="41"/>
      <c r="J97" s="63" t="s">
        <v>77</v>
      </c>
      <c r="K97" s="57"/>
      <c r="L97" s="76">
        <v>0</v>
      </c>
      <c r="M97" s="81">
        <v>33</v>
      </c>
      <c r="N97" s="79">
        <f>(Tabela1[[#This Row],[SIMULADO 2 NOTA]]-Tabela1[[#This Row],[SIMULADO 1 - NOTA]])</f>
        <v>33</v>
      </c>
      <c r="O97" s="70"/>
      <c r="P97" s="70"/>
      <c r="Q97" s="70"/>
      <c r="R97" s="70"/>
      <c r="S97" s="70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34"/>
      <c r="BP97" s="22"/>
    </row>
    <row r="98" spans="1:68" s="3" customFormat="1" ht="25.5" hidden="1" customHeight="1">
      <c r="A98" s="22" t="s">
        <v>69</v>
      </c>
      <c r="B98" s="3">
        <v>28990994</v>
      </c>
      <c r="C98" s="3" t="s">
        <v>70</v>
      </c>
      <c r="D98" s="3" t="s">
        <v>71</v>
      </c>
      <c r="E98" s="6">
        <v>5018523360</v>
      </c>
      <c r="F98" s="3" t="s">
        <v>72</v>
      </c>
      <c r="G98" s="64">
        <v>9</v>
      </c>
      <c r="H98" s="15" t="s">
        <v>227</v>
      </c>
      <c r="I98" s="40" t="s">
        <v>74</v>
      </c>
      <c r="J98" s="63" t="s">
        <v>75</v>
      </c>
      <c r="K98" s="58" t="s">
        <v>228</v>
      </c>
      <c r="L98" s="75">
        <v>51</v>
      </c>
      <c r="M98" s="81">
        <v>0</v>
      </c>
      <c r="N98" s="84">
        <f>(Tabela1[[#This Row],[SIMULADO 2 NOTA]]-Tabela1[[#This Row],[SIMULADO 1 - NOTA]])</f>
        <v>-51</v>
      </c>
      <c r="O98" s="54"/>
      <c r="P98" s="54"/>
      <c r="Q98" s="54"/>
      <c r="R98" s="54"/>
      <c r="S98" s="54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34"/>
      <c r="BP98" s="22"/>
    </row>
    <row r="99" spans="1:68" s="3" customFormat="1" ht="25.5" customHeight="1">
      <c r="A99" s="22" t="s">
        <v>69</v>
      </c>
      <c r="B99" s="3">
        <v>31279821</v>
      </c>
      <c r="C99" s="3" t="s">
        <v>70</v>
      </c>
      <c r="D99" s="3" t="s">
        <v>71</v>
      </c>
      <c r="E99" s="6">
        <v>1303641429</v>
      </c>
      <c r="F99" s="3" t="s">
        <v>82</v>
      </c>
      <c r="G99" s="64">
        <v>11</v>
      </c>
      <c r="H99" s="15" t="s">
        <v>229</v>
      </c>
      <c r="I99" s="40" t="s">
        <v>74</v>
      </c>
      <c r="J99" s="63" t="s">
        <v>77</v>
      </c>
      <c r="K99" s="58" t="s">
        <v>230</v>
      </c>
      <c r="L99" s="75">
        <v>56</v>
      </c>
      <c r="M99" s="82">
        <v>41</v>
      </c>
      <c r="N99" s="84">
        <f>(Tabela1[[#This Row],[SIMULADO 2 NOTA]]-Tabela1[[#This Row],[SIMULADO 1 - NOTA]])</f>
        <v>-15</v>
      </c>
      <c r="O99" s="78"/>
      <c r="P99" s="78"/>
      <c r="Q99" s="78"/>
      <c r="R99" s="78"/>
      <c r="S99" s="78"/>
      <c r="T99" s="68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34"/>
      <c r="BP99" s="22"/>
    </row>
    <row r="100" spans="1:68" s="3" customFormat="1" ht="25.5" customHeight="1">
      <c r="A100" s="22" t="s">
        <v>69</v>
      </c>
      <c r="B100" s="3">
        <v>26580187</v>
      </c>
      <c r="C100" s="3" t="s">
        <v>70</v>
      </c>
      <c r="D100" s="3" t="s">
        <v>71</v>
      </c>
      <c r="E100" s="6">
        <v>6206489450</v>
      </c>
      <c r="F100" s="3" t="s">
        <v>82</v>
      </c>
      <c r="G100" s="64">
        <v>11</v>
      </c>
      <c r="H100" s="15" t="s">
        <v>231</v>
      </c>
      <c r="I100" s="40" t="s">
        <v>74</v>
      </c>
      <c r="J100" s="63" t="s">
        <v>77</v>
      </c>
      <c r="K100" s="58" t="s">
        <v>232</v>
      </c>
      <c r="L100" s="75">
        <v>55</v>
      </c>
      <c r="M100" s="82">
        <v>61</v>
      </c>
      <c r="N100" s="92">
        <f>(Tabela1[[#This Row],[SIMULADO 2 NOTA]]-Tabela1[[#This Row],[SIMULADO 1 - NOTA]])</f>
        <v>6</v>
      </c>
      <c r="O100" s="78"/>
      <c r="P100" s="78"/>
      <c r="Q100" s="78"/>
      <c r="R100" s="78"/>
      <c r="S100" s="78"/>
      <c r="T100" s="68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34"/>
      <c r="BP100" s="22"/>
    </row>
    <row r="101" spans="1:68" s="3" customFormat="1" ht="25.5" customHeight="1">
      <c r="A101" s="22" t="s">
        <v>69</v>
      </c>
      <c r="B101" s="3">
        <v>34610839</v>
      </c>
      <c r="C101" s="3" t="s">
        <v>70</v>
      </c>
      <c r="D101" s="3" t="s">
        <v>71</v>
      </c>
      <c r="E101" s="6">
        <v>10452961475</v>
      </c>
      <c r="F101" s="3" t="s">
        <v>91</v>
      </c>
      <c r="G101" s="64">
        <v>7</v>
      </c>
      <c r="H101" s="3" t="s">
        <v>233</v>
      </c>
      <c r="I101" s="41"/>
      <c r="J101" s="63" t="s">
        <v>77</v>
      </c>
      <c r="K101" s="57"/>
      <c r="L101" s="76">
        <v>0</v>
      </c>
      <c r="M101" s="81">
        <v>61</v>
      </c>
      <c r="N101" s="79">
        <f>(Tabela1[[#This Row],[SIMULADO 2 NOTA]]-Tabela1[[#This Row],[SIMULADO 1 - NOTA]])</f>
        <v>61</v>
      </c>
      <c r="O101" s="73"/>
      <c r="P101" s="73"/>
      <c r="Q101" s="73"/>
      <c r="R101" s="73"/>
      <c r="S101" s="73"/>
      <c r="T101" s="7"/>
      <c r="U101" s="7"/>
      <c r="V101" s="7" t="s">
        <v>87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34"/>
      <c r="BP101" s="22"/>
    </row>
    <row r="102" spans="1:68" s="3" customFormat="1" ht="25.5" customHeight="1">
      <c r="A102" s="22" t="s">
        <v>69</v>
      </c>
      <c r="B102" s="3">
        <v>31374646</v>
      </c>
      <c r="C102" s="3" t="s">
        <v>70</v>
      </c>
      <c r="D102" s="3" t="s">
        <v>71</v>
      </c>
      <c r="E102" s="6">
        <v>5670702476</v>
      </c>
      <c r="F102" s="3" t="s">
        <v>82</v>
      </c>
      <c r="G102" s="64">
        <v>11</v>
      </c>
      <c r="H102" s="3" t="s">
        <v>234</v>
      </c>
      <c r="I102" s="41"/>
      <c r="J102" s="63" t="s">
        <v>77</v>
      </c>
      <c r="K102" s="58" t="s">
        <v>235</v>
      </c>
      <c r="L102" s="75">
        <v>61</v>
      </c>
      <c r="M102" s="82">
        <v>40</v>
      </c>
      <c r="N102" s="84">
        <f>(Tabela1[[#This Row],[SIMULADO 2 NOTA]]-Tabela1[[#This Row],[SIMULADO 1 - NOTA]])</f>
        <v>-21</v>
      </c>
      <c r="O102" s="78"/>
      <c r="P102" s="78"/>
      <c r="Q102" s="78"/>
      <c r="R102" s="78"/>
      <c r="S102" s="78"/>
      <c r="T102" s="68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34"/>
      <c r="BP102" s="22"/>
    </row>
    <row r="103" spans="1:68" s="3" customFormat="1" ht="25.5" customHeight="1">
      <c r="A103" s="22" t="s">
        <v>69</v>
      </c>
      <c r="B103" s="3">
        <v>31285139</v>
      </c>
      <c r="C103" s="3" t="s">
        <v>70</v>
      </c>
      <c r="D103" s="3" t="s">
        <v>71</v>
      </c>
      <c r="E103" s="6">
        <v>93089198487</v>
      </c>
      <c r="F103" s="3" t="s">
        <v>82</v>
      </c>
      <c r="G103" s="64">
        <v>11</v>
      </c>
      <c r="H103" s="18" t="s">
        <v>236</v>
      </c>
      <c r="I103" s="43" t="s">
        <v>84</v>
      </c>
      <c r="J103" s="63" t="s">
        <v>75</v>
      </c>
      <c r="K103" s="58" t="s">
        <v>237</v>
      </c>
      <c r="L103" s="75">
        <v>44</v>
      </c>
      <c r="M103" s="82">
        <v>57</v>
      </c>
      <c r="N103" s="92">
        <f>(Tabela1[[#This Row],[SIMULADO 2 NOTA]]-Tabela1[[#This Row],[SIMULADO 1 - NOTA]])</f>
        <v>13</v>
      </c>
      <c r="O103" s="72"/>
      <c r="P103" s="72"/>
      <c r="Q103" s="72"/>
      <c r="R103" s="72"/>
      <c r="S103" s="72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34"/>
      <c r="BP103" s="22"/>
    </row>
    <row r="104" spans="1:68" s="3" customFormat="1" ht="25.5" hidden="1" customHeight="1">
      <c r="A104" s="22" t="s">
        <v>69</v>
      </c>
      <c r="B104" s="3">
        <v>32660499</v>
      </c>
      <c r="C104" s="3" t="s">
        <v>70</v>
      </c>
      <c r="D104" s="3" t="s">
        <v>71</v>
      </c>
      <c r="E104" s="6">
        <v>8086571432</v>
      </c>
      <c r="F104" s="3" t="s">
        <v>72</v>
      </c>
      <c r="G104" s="64">
        <v>7</v>
      </c>
      <c r="H104" s="3" t="s">
        <v>238</v>
      </c>
      <c r="I104" s="41"/>
      <c r="J104" s="63" t="s">
        <v>77</v>
      </c>
      <c r="K104" s="57"/>
      <c r="L104" s="76">
        <v>0</v>
      </c>
      <c r="M104" s="81">
        <v>0</v>
      </c>
      <c r="N104" s="81">
        <f>(Tabela1[[#This Row],[SIMULADO 2 NOTA]]-Tabela1[[#This Row],[SIMULADO 1 - NOTA]])</f>
        <v>0</v>
      </c>
      <c r="O104" s="53"/>
      <c r="P104" s="53"/>
      <c r="Q104" s="53"/>
      <c r="R104" s="53"/>
      <c r="S104" s="53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34"/>
      <c r="BP104" s="22"/>
    </row>
    <row r="105" spans="1:68" s="3" customFormat="1" ht="25.5" customHeight="1">
      <c r="A105" s="22" t="s">
        <v>69</v>
      </c>
      <c r="B105" s="3">
        <v>29205166</v>
      </c>
      <c r="C105" s="3" t="s">
        <v>70</v>
      </c>
      <c r="D105" s="3" t="s">
        <v>71</v>
      </c>
      <c r="E105" s="6">
        <v>70067845495</v>
      </c>
      <c r="F105" s="3" t="s">
        <v>72</v>
      </c>
      <c r="G105" s="64">
        <v>9</v>
      </c>
      <c r="H105" s="18" t="s">
        <v>239</v>
      </c>
      <c r="I105" s="43" t="s">
        <v>84</v>
      </c>
      <c r="J105" s="63" t="s">
        <v>75</v>
      </c>
      <c r="K105" s="58" t="s">
        <v>240</v>
      </c>
      <c r="L105" s="75">
        <v>45</v>
      </c>
      <c r="M105" s="81">
        <v>41</v>
      </c>
      <c r="N105" s="84">
        <f>(Tabela1[[#This Row],[SIMULADO 2 NOTA]]-Tabela1[[#This Row],[SIMULADO 1 - NOTA]])</f>
        <v>-4</v>
      </c>
      <c r="O105" s="52"/>
      <c r="P105" s="52"/>
      <c r="Q105" s="52"/>
      <c r="R105" s="52"/>
      <c r="S105" s="52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34"/>
      <c r="BP105" s="22"/>
    </row>
    <row r="106" spans="1:68" s="3" customFormat="1" ht="25.5" hidden="1" customHeight="1">
      <c r="A106" s="22" t="s">
        <v>69</v>
      </c>
      <c r="B106" s="3">
        <v>32684363</v>
      </c>
      <c r="C106" s="3" t="s">
        <v>70</v>
      </c>
      <c r="D106" s="3" t="s">
        <v>71</v>
      </c>
      <c r="E106" s="6">
        <v>14503519484</v>
      </c>
      <c r="F106" s="3" t="s">
        <v>91</v>
      </c>
      <c r="G106" s="64">
        <v>7</v>
      </c>
      <c r="H106" s="3" t="s">
        <v>241</v>
      </c>
      <c r="I106" s="41"/>
      <c r="J106" s="63" t="s">
        <v>77</v>
      </c>
      <c r="K106" s="57"/>
      <c r="L106" s="76">
        <v>0</v>
      </c>
      <c r="M106" s="81">
        <v>0</v>
      </c>
      <c r="N106" s="81">
        <f>(Tabela1[[#This Row],[SIMULADO 2 NOTA]]-Tabela1[[#This Row],[SIMULADO 1 - NOTA]])</f>
        <v>0</v>
      </c>
      <c r="O106" s="69"/>
      <c r="P106" s="69"/>
      <c r="Q106" s="69"/>
      <c r="R106" s="69"/>
      <c r="S106" s="69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34"/>
      <c r="BP106" s="22"/>
    </row>
    <row r="107" spans="1:68" s="3" customFormat="1" ht="25.5" customHeight="1">
      <c r="A107" s="22" t="s">
        <v>69</v>
      </c>
      <c r="B107" s="3">
        <v>26457849</v>
      </c>
      <c r="C107" s="3" t="s">
        <v>70</v>
      </c>
      <c r="D107" s="3" t="s">
        <v>71</v>
      </c>
      <c r="E107" s="6">
        <v>5886064486</v>
      </c>
      <c r="F107" s="3" t="s">
        <v>72</v>
      </c>
      <c r="G107" s="64">
        <v>11</v>
      </c>
      <c r="H107" s="3" t="s">
        <v>242</v>
      </c>
      <c r="I107" s="41"/>
      <c r="J107" s="63" t="s">
        <v>77</v>
      </c>
      <c r="K107" s="58" t="s">
        <v>187</v>
      </c>
      <c r="L107" s="75">
        <v>76</v>
      </c>
      <c r="M107" s="82">
        <v>72</v>
      </c>
      <c r="N107" s="84">
        <f>(Tabela1[[#This Row],[SIMULADO 2 NOTA]]-Tabela1[[#This Row],[SIMULADO 1 - NOTA]])</f>
        <v>-4</v>
      </c>
      <c r="O107" s="78"/>
      <c r="P107" s="78"/>
      <c r="Q107" s="78"/>
      <c r="R107" s="78"/>
      <c r="S107" s="78"/>
      <c r="T107" s="68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34"/>
      <c r="BP107" s="22"/>
    </row>
    <row r="108" spans="1:68" s="3" customFormat="1" ht="25.5" customHeight="1">
      <c r="A108" s="22" t="s">
        <v>69</v>
      </c>
      <c r="B108" s="3">
        <v>30049156</v>
      </c>
      <c r="C108" s="3" t="s">
        <v>70</v>
      </c>
      <c r="D108" s="3" t="s">
        <v>71</v>
      </c>
      <c r="E108" s="6">
        <v>99254468568</v>
      </c>
      <c r="F108" s="3" t="s">
        <v>82</v>
      </c>
      <c r="G108" s="64">
        <v>11</v>
      </c>
      <c r="H108" s="18" t="s">
        <v>243</v>
      </c>
      <c r="I108" s="43" t="s">
        <v>84</v>
      </c>
      <c r="J108" s="63" t="s">
        <v>77</v>
      </c>
      <c r="K108" s="58" t="s">
        <v>135</v>
      </c>
      <c r="L108" s="75">
        <v>36</v>
      </c>
      <c r="M108" s="82">
        <v>52</v>
      </c>
      <c r="N108" s="92">
        <f>(Tabela1[[#This Row],[SIMULADO 2 NOTA]]-Tabela1[[#This Row],[SIMULADO 1 - NOTA]])</f>
        <v>16</v>
      </c>
      <c r="O108" s="78"/>
      <c r="P108" s="78"/>
      <c r="Q108" s="78"/>
      <c r="R108" s="78"/>
      <c r="S108" s="78"/>
      <c r="T108" s="68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34"/>
      <c r="BP108" s="22"/>
    </row>
    <row r="109" spans="1:68" s="3" customFormat="1" ht="25.5" customHeight="1">
      <c r="A109" s="22" t="s">
        <v>69</v>
      </c>
      <c r="B109" s="3">
        <v>28946979</v>
      </c>
      <c r="C109" s="3" t="s">
        <v>70</v>
      </c>
      <c r="D109" s="3" t="s">
        <v>71</v>
      </c>
      <c r="E109" s="6">
        <v>8703645452</v>
      </c>
      <c r="F109" s="3" t="s">
        <v>82</v>
      </c>
      <c r="G109" s="64">
        <v>9</v>
      </c>
      <c r="H109" s="3" t="s">
        <v>244</v>
      </c>
      <c r="I109" s="41"/>
      <c r="J109" s="63" t="s">
        <v>75</v>
      </c>
      <c r="K109" s="58" t="s">
        <v>245</v>
      </c>
      <c r="L109" s="75">
        <v>70</v>
      </c>
      <c r="M109" s="81">
        <v>63</v>
      </c>
      <c r="N109" s="84">
        <f>(Tabela1[[#This Row],[SIMULADO 2 NOTA]]-Tabela1[[#This Row],[SIMULADO 1 - NOTA]])</f>
        <v>-7</v>
      </c>
      <c r="O109" s="72"/>
      <c r="P109" s="72"/>
      <c r="Q109" s="72"/>
      <c r="R109" s="72"/>
      <c r="S109" s="72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34"/>
      <c r="BP109" s="22"/>
    </row>
    <row r="110" spans="1:68" s="3" customFormat="1" ht="25.5" customHeight="1">
      <c r="A110" s="22" t="s">
        <v>69</v>
      </c>
      <c r="B110" s="3">
        <v>28946332</v>
      </c>
      <c r="C110" s="3" t="s">
        <v>70</v>
      </c>
      <c r="D110" s="3" t="s">
        <v>71</v>
      </c>
      <c r="E110" s="6">
        <v>5304475410</v>
      </c>
      <c r="F110" s="3" t="s">
        <v>72</v>
      </c>
      <c r="G110" s="64">
        <v>9</v>
      </c>
      <c r="H110" s="15" t="s">
        <v>246</v>
      </c>
      <c r="I110" s="40" t="s">
        <v>74</v>
      </c>
      <c r="J110" s="63" t="s">
        <v>75</v>
      </c>
      <c r="K110" s="58" t="s">
        <v>247</v>
      </c>
      <c r="L110" s="75">
        <v>56</v>
      </c>
      <c r="M110" s="81">
        <v>50</v>
      </c>
      <c r="N110" s="84">
        <f>(Tabela1[[#This Row],[SIMULADO 2 NOTA]]-Tabela1[[#This Row],[SIMULADO 1 - NOTA]])</f>
        <v>-6</v>
      </c>
      <c r="O110" s="52"/>
      <c r="P110" s="52"/>
      <c r="Q110" s="52"/>
      <c r="R110" s="52"/>
      <c r="S110" s="52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34"/>
      <c r="BP110" s="22"/>
    </row>
    <row r="111" spans="1:68" s="3" customFormat="1" ht="25.5" customHeight="1">
      <c r="A111" s="22" t="s">
        <v>69</v>
      </c>
      <c r="B111" s="3">
        <v>35395397</v>
      </c>
      <c r="C111" s="3" t="s">
        <v>70</v>
      </c>
      <c r="D111" s="3" t="s">
        <v>71</v>
      </c>
      <c r="E111" s="6">
        <v>6556956481</v>
      </c>
      <c r="F111" s="3" t="s">
        <v>91</v>
      </c>
      <c r="G111" s="64">
        <v>9</v>
      </c>
      <c r="H111" s="3" t="s">
        <v>248</v>
      </c>
      <c r="I111" s="41"/>
      <c r="J111" s="63" t="s">
        <v>75</v>
      </c>
      <c r="K111" s="58" t="s">
        <v>249</v>
      </c>
      <c r="L111" s="75">
        <v>64</v>
      </c>
      <c r="M111" s="81">
        <v>54</v>
      </c>
      <c r="N111" s="84">
        <f>(Tabela1[[#This Row],[SIMULADO 2 NOTA]]-Tabela1[[#This Row],[SIMULADO 1 - NOTA]])</f>
        <v>-10</v>
      </c>
      <c r="O111" s="54"/>
      <c r="P111" s="54"/>
      <c r="Q111" s="54"/>
      <c r="R111" s="54"/>
      <c r="S111" s="54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34"/>
      <c r="BP111" s="22"/>
    </row>
    <row r="112" spans="1:68" s="3" customFormat="1" ht="25.5" customHeight="1">
      <c r="A112" s="22" t="s">
        <v>69</v>
      </c>
      <c r="B112" s="3">
        <v>25490044</v>
      </c>
      <c r="C112" s="3" t="s">
        <v>70</v>
      </c>
      <c r="D112" s="3" t="s">
        <v>71</v>
      </c>
      <c r="E112" s="6">
        <v>8315478478</v>
      </c>
      <c r="F112" s="3" t="s">
        <v>72</v>
      </c>
      <c r="G112" s="64">
        <v>11</v>
      </c>
      <c r="H112" s="3" t="s">
        <v>250</v>
      </c>
      <c r="I112" s="41"/>
      <c r="J112" s="63" t="s">
        <v>77</v>
      </c>
      <c r="K112" s="58" t="s">
        <v>125</v>
      </c>
      <c r="L112" s="75">
        <v>67</v>
      </c>
      <c r="M112" s="82">
        <v>62</v>
      </c>
      <c r="N112" s="84">
        <f>(Tabela1[[#This Row],[SIMULADO 2 NOTA]]-Tabela1[[#This Row],[SIMULADO 1 - NOTA]])</f>
        <v>-5</v>
      </c>
      <c r="O112" s="78"/>
      <c r="P112" s="78"/>
      <c r="Q112" s="78"/>
      <c r="R112" s="78"/>
      <c r="S112" s="78"/>
      <c r="T112" s="68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34"/>
      <c r="BP112" s="22"/>
    </row>
    <row r="113" spans="1:68" s="3" customFormat="1" ht="25.5" customHeight="1">
      <c r="A113" s="22" t="s">
        <v>69</v>
      </c>
      <c r="B113" s="3">
        <v>32720203</v>
      </c>
      <c r="C113" s="3" t="s">
        <v>70</v>
      </c>
      <c r="D113" s="3" t="s">
        <v>71</v>
      </c>
      <c r="E113" s="6">
        <v>16311234408</v>
      </c>
      <c r="F113" s="3" t="s">
        <v>91</v>
      </c>
      <c r="G113" s="64">
        <v>7</v>
      </c>
      <c r="H113" s="3" t="s">
        <v>251</v>
      </c>
      <c r="I113" s="41"/>
      <c r="J113" s="63" t="s">
        <v>77</v>
      </c>
      <c r="K113" s="57"/>
      <c r="L113" s="76">
        <v>0</v>
      </c>
      <c r="M113" s="81">
        <v>43</v>
      </c>
      <c r="N113" s="79">
        <f>(Tabela1[[#This Row],[SIMULADO 2 NOTA]]-Tabela1[[#This Row],[SIMULADO 1 - NOTA]])</f>
        <v>43</v>
      </c>
      <c r="O113" s="70"/>
      <c r="P113" s="70"/>
      <c r="Q113" s="70"/>
      <c r="R113" s="70"/>
      <c r="S113" s="70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34"/>
      <c r="BP113" s="22"/>
    </row>
    <row r="114" spans="1:68" s="3" customFormat="1" ht="25.5" customHeight="1">
      <c r="A114" s="22" t="s">
        <v>69</v>
      </c>
      <c r="B114" s="3">
        <v>34680462</v>
      </c>
      <c r="C114" s="3" t="s">
        <v>70</v>
      </c>
      <c r="D114" s="3" t="s">
        <v>71</v>
      </c>
      <c r="E114" s="6">
        <v>9390493412</v>
      </c>
      <c r="F114" s="3" t="s">
        <v>91</v>
      </c>
      <c r="G114" s="64">
        <v>7</v>
      </c>
      <c r="H114" s="3" t="s">
        <v>252</v>
      </c>
      <c r="I114" s="41"/>
      <c r="J114" s="63" t="s">
        <v>77</v>
      </c>
      <c r="K114" s="57"/>
      <c r="L114" s="76">
        <v>0</v>
      </c>
      <c r="M114" s="81">
        <v>37</v>
      </c>
      <c r="N114" s="79">
        <f>(Tabela1[[#This Row],[SIMULADO 2 NOTA]]-Tabela1[[#This Row],[SIMULADO 1 - NOTA]])</f>
        <v>37</v>
      </c>
      <c r="O114" s="69"/>
      <c r="P114" s="69"/>
      <c r="Q114" s="69"/>
      <c r="R114" s="69"/>
      <c r="S114" s="69"/>
      <c r="T114" s="7"/>
      <c r="U114" s="7"/>
      <c r="V114" s="7" t="s">
        <v>87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34"/>
      <c r="BP114" s="22"/>
    </row>
    <row r="115" spans="1:68" s="3" customFormat="1" ht="25.5" customHeight="1">
      <c r="A115" s="22" t="s">
        <v>69</v>
      </c>
      <c r="B115" s="3">
        <v>22994599</v>
      </c>
      <c r="C115" s="3" t="s">
        <v>70</v>
      </c>
      <c r="D115" s="3" t="s">
        <v>71</v>
      </c>
      <c r="E115" s="6">
        <v>10039717410</v>
      </c>
      <c r="F115" s="3" t="s">
        <v>82</v>
      </c>
      <c r="G115" s="64">
        <v>11</v>
      </c>
      <c r="H115" s="3" t="s">
        <v>253</v>
      </c>
      <c r="I115" s="41"/>
      <c r="J115" s="63" t="s">
        <v>77</v>
      </c>
      <c r="K115" s="58" t="s">
        <v>164</v>
      </c>
      <c r="L115" s="75">
        <v>69</v>
      </c>
      <c r="M115" s="82">
        <v>57</v>
      </c>
      <c r="N115" s="84">
        <f>(Tabela1[[#This Row],[SIMULADO 2 NOTA]]-Tabela1[[#This Row],[SIMULADO 1 - NOTA]])</f>
        <v>-12</v>
      </c>
      <c r="O115" s="78"/>
      <c r="P115" s="78"/>
      <c r="Q115" s="78"/>
      <c r="R115" s="78"/>
      <c r="S115" s="78"/>
      <c r="T115" s="68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34"/>
      <c r="BP115" s="22"/>
    </row>
    <row r="116" spans="1:68" s="3" customFormat="1" ht="25.5" customHeight="1">
      <c r="A116" s="22" t="s">
        <v>69</v>
      </c>
      <c r="B116" s="3">
        <v>26396271</v>
      </c>
      <c r="C116" s="3" t="s">
        <v>70</v>
      </c>
      <c r="D116" s="3" t="s">
        <v>71</v>
      </c>
      <c r="E116" s="6">
        <v>10292304471</v>
      </c>
      <c r="F116" s="3" t="s">
        <v>91</v>
      </c>
      <c r="G116" s="64">
        <v>9</v>
      </c>
      <c r="H116" s="18" t="s">
        <v>254</v>
      </c>
      <c r="I116" s="43" t="s">
        <v>84</v>
      </c>
      <c r="J116" s="63" t="s">
        <v>75</v>
      </c>
      <c r="K116" s="58" t="s">
        <v>255</v>
      </c>
      <c r="L116" s="75">
        <v>43</v>
      </c>
      <c r="M116" s="81">
        <v>40</v>
      </c>
      <c r="N116" s="84">
        <f>(Tabela1[[#This Row],[SIMULADO 2 NOTA]]-Tabela1[[#This Row],[SIMULADO 1 - NOTA]])</f>
        <v>-3</v>
      </c>
      <c r="O116" s="72"/>
      <c r="P116" s="72"/>
      <c r="Q116" s="72"/>
      <c r="R116" s="72"/>
      <c r="S116" s="72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34"/>
      <c r="BP116" s="22"/>
    </row>
    <row r="117" spans="1:68" s="3" customFormat="1" ht="25.5" customHeight="1">
      <c r="A117" s="22" t="s">
        <v>69</v>
      </c>
      <c r="B117" s="3">
        <v>34418725</v>
      </c>
      <c r="C117" s="3" t="s">
        <v>70</v>
      </c>
      <c r="D117" s="3" t="s">
        <v>71</v>
      </c>
      <c r="E117" s="6">
        <v>70768303451</v>
      </c>
      <c r="F117" s="3" t="s">
        <v>91</v>
      </c>
      <c r="G117" s="64">
        <v>7</v>
      </c>
      <c r="H117" s="3" t="s">
        <v>256</v>
      </c>
      <c r="I117" s="41"/>
      <c r="J117" s="63" t="s">
        <v>77</v>
      </c>
      <c r="K117" s="57"/>
      <c r="L117" s="76">
        <v>0</v>
      </c>
      <c r="M117" s="81">
        <v>62</v>
      </c>
      <c r="N117" s="79">
        <f>(Tabela1[[#This Row],[SIMULADO 2 NOTA]]-Tabela1[[#This Row],[SIMULADO 1 - NOTA]])</f>
        <v>62</v>
      </c>
      <c r="O117" s="53"/>
      <c r="P117" s="53"/>
      <c r="Q117" s="53"/>
      <c r="R117" s="53"/>
      <c r="S117" s="53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34"/>
      <c r="BP117" s="22"/>
    </row>
    <row r="118" spans="1:68" s="3" customFormat="1" ht="25.5" customHeight="1">
      <c r="A118" s="22" t="s">
        <v>69</v>
      </c>
      <c r="B118" s="5">
        <v>29902720</v>
      </c>
      <c r="C118" s="3" t="s">
        <v>70</v>
      </c>
      <c r="D118" s="3" t="s">
        <v>71</v>
      </c>
      <c r="E118" s="6">
        <v>5760964402</v>
      </c>
      <c r="F118" s="3" t="s">
        <v>78</v>
      </c>
      <c r="G118" s="64">
        <v>7</v>
      </c>
      <c r="H118" s="3" t="s">
        <v>257</v>
      </c>
      <c r="I118" s="41"/>
      <c r="J118" s="63" t="s">
        <v>77</v>
      </c>
      <c r="K118" s="57"/>
      <c r="L118" s="76">
        <v>0</v>
      </c>
      <c r="M118" s="81">
        <v>53</v>
      </c>
      <c r="N118" s="79">
        <f>(Tabela1[[#This Row],[SIMULADO 2 NOTA]]-Tabela1[[#This Row],[SIMULADO 1 - NOTA]])</f>
        <v>53</v>
      </c>
      <c r="O118" s="53"/>
      <c r="P118" s="53"/>
      <c r="Q118" s="53"/>
      <c r="R118" s="53"/>
      <c r="S118" s="53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34"/>
      <c r="BP118" s="22"/>
    </row>
    <row r="119" spans="1:68" s="3" customFormat="1" ht="25.5" customHeight="1">
      <c r="A119" s="22" t="s">
        <v>69</v>
      </c>
      <c r="B119" s="3">
        <v>34762990</v>
      </c>
      <c r="C119" s="3" t="s">
        <v>70</v>
      </c>
      <c r="D119" s="3" t="s">
        <v>71</v>
      </c>
      <c r="E119" s="6">
        <v>10117648493</v>
      </c>
      <c r="F119" s="3" t="s">
        <v>82</v>
      </c>
      <c r="G119" s="64">
        <v>7</v>
      </c>
      <c r="H119" s="3" t="s">
        <v>258</v>
      </c>
      <c r="I119" s="41"/>
      <c r="J119" s="63" t="s">
        <v>77</v>
      </c>
      <c r="K119" s="57"/>
      <c r="L119" s="76">
        <v>0</v>
      </c>
      <c r="M119" s="81">
        <v>57</v>
      </c>
      <c r="N119" s="79">
        <f>(Tabela1[[#This Row],[SIMULADO 2 NOTA]]-Tabela1[[#This Row],[SIMULADO 1 - NOTA]])</f>
        <v>57</v>
      </c>
      <c r="O119" s="69"/>
      <c r="P119" s="69"/>
      <c r="Q119" s="69"/>
      <c r="R119" s="69"/>
      <c r="S119" s="69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34"/>
      <c r="BP119" s="22"/>
    </row>
    <row r="120" spans="1:68" s="3" customFormat="1" ht="25.5" customHeight="1">
      <c r="A120" s="22" t="s">
        <v>69</v>
      </c>
      <c r="B120" s="3">
        <v>10613137</v>
      </c>
      <c r="C120" s="3" t="s">
        <v>70</v>
      </c>
      <c r="D120" s="3" t="s">
        <v>71</v>
      </c>
      <c r="E120" s="6">
        <v>7848240452</v>
      </c>
      <c r="F120" s="3" t="s">
        <v>72</v>
      </c>
      <c r="G120" s="64">
        <v>11</v>
      </c>
      <c r="H120" s="3" t="s">
        <v>259</v>
      </c>
      <c r="I120" s="41"/>
      <c r="J120" s="63" t="s">
        <v>77</v>
      </c>
      <c r="K120" s="58" t="s">
        <v>260</v>
      </c>
      <c r="L120" s="76">
        <v>0</v>
      </c>
      <c r="M120" s="82">
        <v>44</v>
      </c>
      <c r="N120" s="92">
        <f>(Tabela1[[#This Row],[SIMULADO 2 NOTA]]-Tabela1[[#This Row],[SIMULADO 1 - NOTA]])</f>
        <v>44</v>
      </c>
      <c r="O120" s="78"/>
      <c r="P120" s="78"/>
      <c r="Q120" s="78"/>
      <c r="R120" s="78"/>
      <c r="S120" s="78"/>
      <c r="T120" s="68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34"/>
      <c r="BP120" s="22"/>
    </row>
    <row r="121" spans="1:68" s="3" customFormat="1" ht="25.5" hidden="1" customHeight="1">
      <c r="A121" s="22" t="s">
        <v>69</v>
      </c>
      <c r="B121" s="3">
        <v>29704073</v>
      </c>
      <c r="C121" s="3" t="s">
        <v>70</v>
      </c>
      <c r="D121" s="3" t="s">
        <v>71</v>
      </c>
      <c r="E121" s="6">
        <v>8409938464</v>
      </c>
      <c r="F121" s="3" t="s">
        <v>72</v>
      </c>
      <c r="G121" s="64">
        <v>9</v>
      </c>
      <c r="H121" s="15" t="s">
        <v>261</v>
      </c>
      <c r="I121" s="40" t="s">
        <v>74</v>
      </c>
      <c r="J121" s="63" t="s">
        <v>75</v>
      </c>
      <c r="K121" s="58" t="s">
        <v>262</v>
      </c>
      <c r="L121" s="75">
        <v>53</v>
      </c>
      <c r="M121" s="81">
        <v>0</v>
      </c>
      <c r="N121" s="84">
        <f>(Tabela1[[#This Row],[SIMULADO 2 NOTA]]-Tabela1[[#This Row],[SIMULADO 1 - NOTA]])</f>
        <v>-53</v>
      </c>
      <c r="O121" s="71"/>
      <c r="P121" s="71"/>
      <c r="Q121" s="71"/>
      <c r="R121" s="71"/>
      <c r="S121" s="71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34"/>
      <c r="BP121" s="22"/>
    </row>
    <row r="122" spans="1:68" s="3" customFormat="1" ht="25.5" customHeight="1">
      <c r="A122" s="22" t="s">
        <v>69</v>
      </c>
      <c r="B122" s="3">
        <v>25195913</v>
      </c>
      <c r="C122" s="3" t="s">
        <v>70</v>
      </c>
      <c r="D122" s="3" t="s">
        <v>71</v>
      </c>
      <c r="E122" s="6">
        <v>755673425</v>
      </c>
      <c r="F122" s="3" t="s">
        <v>82</v>
      </c>
      <c r="G122" s="64">
        <v>11</v>
      </c>
      <c r="H122" s="15" t="s">
        <v>263</v>
      </c>
      <c r="I122" s="40" t="s">
        <v>74</v>
      </c>
      <c r="J122" s="63" t="s">
        <v>77</v>
      </c>
      <c r="K122" s="58" t="s">
        <v>228</v>
      </c>
      <c r="L122" s="75">
        <v>51</v>
      </c>
      <c r="M122" s="82">
        <v>38</v>
      </c>
      <c r="N122" s="84">
        <f>(Tabela1[[#This Row],[SIMULADO 2 NOTA]]-Tabela1[[#This Row],[SIMULADO 1 - NOTA]])</f>
        <v>-13</v>
      </c>
      <c r="O122" s="78"/>
      <c r="P122" s="78"/>
      <c r="Q122" s="78"/>
      <c r="R122" s="78"/>
      <c r="S122" s="78"/>
      <c r="T122" s="68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34"/>
      <c r="BP122" s="22"/>
    </row>
    <row r="123" spans="1:68" s="3" customFormat="1" ht="25.5" customHeight="1">
      <c r="A123" s="22" t="s">
        <v>69</v>
      </c>
      <c r="B123" s="3">
        <v>34071229</v>
      </c>
      <c r="C123" s="3" t="s">
        <v>70</v>
      </c>
      <c r="D123" s="3" t="s">
        <v>71</v>
      </c>
      <c r="E123" s="6">
        <v>70523763425</v>
      </c>
      <c r="F123" s="3" t="s">
        <v>91</v>
      </c>
      <c r="G123" s="64">
        <v>7</v>
      </c>
      <c r="H123" s="3" t="s">
        <v>264</v>
      </c>
      <c r="I123" s="41"/>
      <c r="J123" s="63" t="s">
        <v>77</v>
      </c>
      <c r="K123" s="57"/>
      <c r="L123" s="76">
        <v>0</v>
      </c>
      <c r="M123" s="81">
        <v>52</v>
      </c>
      <c r="N123" s="79">
        <f>(Tabela1[[#This Row],[SIMULADO 2 NOTA]]-Tabela1[[#This Row],[SIMULADO 1 - NOTA]])</f>
        <v>52</v>
      </c>
      <c r="O123" s="73"/>
      <c r="P123" s="73"/>
      <c r="Q123" s="73"/>
      <c r="R123" s="73"/>
      <c r="S123" s="73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34"/>
      <c r="BP123" s="22"/>
    </row>
    <row r="124" spans="1:68" s="3" customFormat="1" ht="25.5" customHeight="1">
      <c r="A124" s="22" t="s">
        <v>69</v>
      </c>
      <c r="B124" s="3">
        <v>31291155</v>
      </c>
      <c r="C124" s="3" t="s">
        <v>70</v>
      </c>
      <c r="D124" s="3" t="s">
        <v>71</v>
      </c>
      <c r="E124" s="6">
        <v>8305607429</v>
      </c>
      <c r="F124" s="3" t="s">
        <v>72</v>
      </c>
      <c r="G124" s="64">
        <v>11</v>
      </c>
      <c r="H124" s="3" t="s">
        <v>265</v>
      </c>
      <c r="I124" s="41"/>
      <c r="J124" s="63" t="s">
        <v>77</v>
      </c>
      <c r="K124" s="58" t="s">
        <v>266</v>
      </c>
      <c r="L124" s="76">
        <v>0</v>
      </c>
      <c r="M124" s="82">
        <v>60</v>
      </c>
      <c r="N124" s="92">
        <f>(Tabela1[[#This Row],[SIMULADO 2 NOTA]]-Tabela1[[#This Row],[SIMULADO 1 - NOTA]])</f>
        <v>60</v>
      </c>
      <c r="O124" s="78"/>
      <c r="P124" s="78"/>
      <c r="Q124" s="78"/>
      <c r="R124" s="78"/>
      <c r="S124" s="78"/>
      <c r="T124" s="68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34"/>
      <c r="BP124" s="22"/>
    </row>
    <row r="125" spans="1:68" s="3" customFormat="1" ht="25.5" customHeight="1">
      <c r="A125" s="22" t="s">
        <v>69</v>
      </c>
      <c r="B125" s="3">
        <v>25179047</v>
      </c>
      <c r="C125" s="3" t="s">
        <v>70</v>
      </c>
      <c r="D125" s="3" t="s">
        <v>71</v>
      </c>
      <c r="E125" s="6">
        <v>6748993423</v>
      </c>
      <c r="F125" s="3" t="s">
        <v>72</v>
      </c>
      <c r="G125" s="64">
        <v>11</v>
      </c>
      <c r="H125" s="18" t="s">
        <v>267</v>
      </c>
      <c r="I125" s="43" t="s">
        <v>84</v>
      </c>
      <c r="J125" s="63" t="s">
        <v>77</v>
      </c>
      <c r="K125" s="58" t="s">
        <v>268</v>
      </c>
      <c r="L125" s="75">
        <v>43</v>
      </c>
      <c r="M125" s="82">
        <v>43</v>
      </c>
      <c r="N125" s="81">
        <f>(Tabela1[[#This Row],[SIMULADO 2 NOTA]]-Tabela1[[#This Row],[SIMULADO 1 - NOTA]])</f>
        <v>0</v>
      </c>
      <c r="O125" s="78"/>
      <c r="P125" s="78"/>
      <c r="Q125" s="78"/>
      <c r="R125" s="78"/>
      <c r="S125" s="78"/>
      <c r="T125" s="68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34"/>
      <c r="BP125" s="22"/>
    </row>
    <row r="126" spans="1:68" s="3" customFormat="1" ht="25.5" customHeight="1">
      <c r="A126" s="22" t="s">
        <v>69</v>
      </c>
      <c r="B126" s="3">
        <v>25558021</v>
      </c>
      <c r="C126" s="3" t="s">
        <v>70</v>
      </c>
      <c r="D126" s="3" t="s">
        <v>71</v>
      </c>
      <c r="E126" s="6">
        <v>9713776429</v>
      </c>
      <c r="F126" s="3" t="s">
        <v>72</v>
      </c>
      <c r="G126" s="64">
        <v>11</v>
      </c>
      <c r="H126" s="3" t="s">
        <v>269</v>
      </c>
      <c r="I126" s="41"/>
      <c r="J126" s="63" t="s">
        <v>77</v>
      </c>
      <c r="K126" s="58" t="s">
        <v>270</v>
      </c>
      <c r="L126" s="75">
        <v>71</v>
      </c>
      <c r="M126" s="82">
        <v>69</v>
      </c>
      <c r="N126" s="84">
        <f>(Tabela1[[#This Row],[SIMULADO 2 NOTA]]-Tabela1[[#This Row],[SIMULADO 1 - NOTA]])</f>
        <v>-2</v>
      </c>
      <c r="O126" s="78"/>
      <c r="P126" s="78"/>
      <c r="Q126" s="78"/>
      <c r="R126" s="78"/>
      <c r="S126" s="78"/>
      <c r="T126" s="68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34"/>
      <c r="BP126" s="22"/>
    </row>
    <row r="127" spans="1:68" s="3" customFormat="1" ht="25.5" customHeight="1">
      <c r="A127" s="22" t="s">
        <v>69</v>
      </c>
      <c r="B127" s="3">
        <v>25762176</v>
      </c>
      <c r="C127" s="3" t="s">
        <v>70</v>
      </c>
      <c r="D127" s="3" t="s">
        <v>71</v>
      </c>
      <c r="E127" s="6">
        <v>8494805401</v>
      </c>
      <c r="F127" s="3" t="s">
        <v>82</v>
      </c>
      <c r="G127" s="64">
        <v>11</v>
      </c>
      <c r="H127" s="15" t="s">
        <v>271</v>
      </c>
      <c r="I127" s="40" t="s">
        <v>74</v>
      </c>
      <c r="J127" s="63" t="s">
        <v>77</v>
      </c>
      <c r="K127" s="58" t="s">
        <v>272</v>
      </c>
      <c r="L127" s="75">
        <v>59</v>
      </c>
      <c r="M127" s="82">
        <v>52</v>
      </c>
      <c r="N127" s="84">
        <f>(Tabela1[[#This Row],[SIMULADO 2 NOTA]]-Tabela1[[#This Row],[SIMULADO 1 - NOTA]])</f>
        <v>-7</v>
      </c>
      <c r="O127" s="78"/>
      <c r="P127" s="78"/>
      <c r="Q127" s="78"/>
      <c r="R127" s="78"/>
      <c r="S127" s="78"/>
      <c r="T127" s="68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34"/>
      <c r="BP127" s="22"/>
    </row>
    <row r="128" spans="1:68" s="3" customFormat="1" ht="25.5" hidden="1" customHeight="1">
      <c r="A128" s="22" t="s">
        <v>69</v>
      </c>
      <c r="B128" s="3">
        <v>30550131</v>
      </c>
      <c r="C128" s="3" t="s">
        <v>70</v>
      </c>
      <c r="D128" s="3" t="s">
        <v>71</v>
      </c>
      <c r="E128" s="6">
        <v>2524254488</v>
      </c>
      <c r="F128" s="3" t="s">
        <v>91</v>
      </c>
      <c r="G128" s="64">
        <v>9</v>
      </c>
      <c r="H128" s="3" t="s">
        <v>273</v>
      </c>
      <c r="I128" s="41"/>
      <c r="J128" s="63" t="s">
        <v>75</v>
      </c>
      <c r="K128" s="58" t="s">
        <v>274</v>
      </c>
      <c r="L128" s="76">
        <v>0</v>
      </c>
      <c r="M128" s="81">
        <v>0</v>
      </c>
      <c r="N128" s="81">
        <f>(Tabela1[[#This Row],[SIMULADO 2 NOTA]]-Tabela1[[#This Row],[SIMULADO 1 - NOTA]])</f>
        <v>0</v>
      </c>
      <c r="O128" s="70"/>
      <c r="P128" s="70"/>
      <c r="Q128" s="70"/>
      <c r="R128" s="70"/>
      <c r="S128" s="70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34"/>
      <c r="BP128" s="22"/>
    </row>
    <row r="129" spans="1:68" s="3" customFormat="1" ht="25.5" customHeight="1">
      <c r="A129" s="22" t="s">
        <v>69</v>
      </c>
      <c r="B129" s="3">
        <v>30692253</v>
      </c>
      <c r="C129" s="3" t="s">
        <v>70</v>
      </c>
      <c r="D129" s="3" t="s">
        <v>71</v>
      </c>
      <c r="E129" s="6">
        <v>71261345410</v>
      </c>
      <c r="F129" s="3" t="s">
        <v>91</v>
      </c>
      <c r="G129" s="64">
        <v>9</v>
      </c>
      <c r="H129" s="18" t="s">
        <v>275</v>
      </c>
      <c r="I129" s="43" t="s">
        <v>84</v>
      </c>
      <c r="J129" s="63" t="s">
        <v>75</v>
      </c>
      <c r="K129" s="58" t="s">
        <v>276</v>
      </c>
      <c r="L129" s="75">
        <v>46</v>
      </c>
      <c r="M129" s="81">
        <v>38</v>
      </c>
      <c r="N129" s="84">
        <f>(Tabela1[[#This Row],[SIMULADO 2 NOTA]]-Tabela1[[#This Row],[SIMULADO 1 - NOTA]])</f>
        <v>-8</v>
      </c>
      <c r="O129" s="54"/>
      <c r="P129" s="54"/>
      <c r="Q129" s="54"/>
      <c r="R129" s="54"/>
      <c r="S129" s="54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34"/>
      <c r="BP129" s="22"/>
    </row>
    <row r="130" spans="1:68" s="3" customFormat="1" ht="25.5" customHeight="1">
      <c r="A130" s="22" t="s">
        <v>69</v>
      </c>
      <c r="B130" s="3">
        <v>27819671</v>
      </c>
      <c r="C130" s="3" t="s">
        <v>70</v>
      </c>
      <c r="D130" s="3" t="s">
        <v>71</v>
      </c>
      <c r="E130" s="6">
        <v>7367220411</v>
      </c>
      <c r="F130" s="3" t="s">
        <v>72</v>
      </c>
      <c r="G130" s="64">
        <v>11</v>
      </c>
      <c r="H130" s="3" t="s">
        <v>277</v>
      </c>
      <c r="I130" s="41"/>
      <c r="J130" s="63" t="s">
        <v>77</v>
      </c>
      <c r="K130" s="58" t="s">
        <v>278</v>
      </c>
      <c r="L130" s="75">
        <v>63</v>
      </c>
      <c r="M130" s="82">
        <v>39</v>
      </c>
      <c r="N130" s="84">
        <f>(Tabela1[[#This Row],[SIMULADO 2 NOTA]]-Tabela1[[#This Row],[SIMULADO 1 - NOTA]])</f>
        <v>-24</v>
      </c>
      <c r="O130" s="78"/>
      <c r="P130" s="78"/>
      <c r="Q130" s="78"/>
      <c r="R130" s="78"/>
      <c r="S130" s="78"/>
      <c r="T130" s="68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34"/>
      <c r="BP130" s="22"/>
    </row>
    <row r="131" spans="1:68" s="3" customFormat="1" ht="25.5" hidden="1" customHeight="1">
      <c r="A131" s="22" t="s">
        <v>69</v>
      </c>
      <c r="B131" s="5">
        <v>34042580</v>
      </c>
      <c r="C131" s="3" t="s">
        <v>70</v>
      </c>
      <c r="D131" s="3" t="s">
        <v>71</v>
      </c>
      <c r="E131" s="6">
        <v>13777507440</v>
      </c>
      <c r="F131" s="3" t="s">
        <v>78</v>
      </c>
      <c r="G131" s="64">
        <v>7</v>
      </c>
      <c r="H131" s="3" t="s">
        <v>279</v>
      </c>
      <c r="I131" s="41"/>
      <c r="J131" s="63" t="s">
        <v>77</v>
      </c>
      <c r="K131" s="57"/>
      <c r="L131" s="76">
        <v>0</v>
      </c>
      <c r="M131" s="83" t="s">
        <v>280</v>
      </c>
      <c r="N131" s="79">
        <v>29</v>
      </c>
      <c r="O131" s="70"/>
      <c r="P131" s="70"/>
      <c r="Q131" s="70"/>
      <c r="R131" s="70"/>
      <c r="S131" s="70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34"/>
      <c r="BP131" s="22"/>
    </row>
    <row r="132" spans="1:68" s="3" customFormat="1" ht="25.5" hidden="1" customHeight="1">
      <c r="A132" s="22" t="s">
        <v>69</v>
      </c>
      <c r="B132" s="3">
        <v>25491920</v>
      </c>
      <c r="C132" s="3" t="s">
        <v>70</v>
      </c>
      <c r="D132" s="3" t="s">
        <v>71</v>
      </c>
      <c r="E132" s="6">
        <v>8905826377</v>
      </c>
      <c r="F132" s="3" t="s">
        <v>78</v>
      </c>
      <c r="G132" s="64">
        <v>9</v>
      </c>
      <c r="H132" s="3" t="s">
        <v>281</v>
      </c>
      <c r="I132" s="41"/>
      <c r="J132" s="63" t="s">
        <v>75</v>
      </c>
      <c r="K132" s="58" t="s">
        <v>282</v>
      </c>
      <c r="L132" s="76">
        <v>0</v>
      </c>
      <c r="M132" s="81">
        <v>31</v>
      </c>
      <c r="N132" s="79">
        <f>(Tabela1[[#This Row],[SIMULADO 2 NOTA]]-Tabela1[[#This Row],[SIMULADO 1 - NOTA]])</f>
        <v>31</v>
      </c>
      <c r="O132" s="53"/>
      <c r="P132" s="53"/>
      <c r="Q132" s="53"/>
      <c r="R132" s="53"/>
      <c r="S132" s="53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34"/>
      <c r="BP132" s="22"/>
    </row>
    <row r="133" spans="1:68" s="3" customFormat="1" ht="25.5" hidden="1" customHeight="1">
      <c r="A133" s="22" t="s">
        <v>69</v>
      </c>
      <c r="B133" s="3">
        <v>32653433</v>
      </c>
      <c r="C133" s="3" t="s">
        <v>70</v>
      </c>
      <c r="D133" s="3" t="s">
        <v>71</v>
      </c>
      <c r="E133" s="6">
        <v>71139764411</v>
      </c>
      <c r="F133" s="3" t="s">
        <v>91</v>
      </c>
      <c r="G133" s="64">
        <v>7</v>
      </c>
      <c r="H133" s="3" t="s">
        <v>283</v>
      </c>
      <c r="I133" s="41"/>
      <c r="J133" s="63" t="s">
        <v>77</v>
      </c>
      <c r="K133" s="57"/>
      <c r="L133" s="76">
        <v>0</v>
      </c>
      <c r="M133" s="81">
        <v>0</v>
      </c>
      <c r="N133" s="81">
        <f>(Tabela1[[#This Row],[SIMULADO 2 NOTA]]-Tabela1[[#This Row],[SIMULADO 1 - NOTA]])</f>
        <v>0</v>
      </c>
      <c r="O133" s="53"/>
      <c r="P133" s="53"/>
      <c r="Q133" s="53"/>
      <c r="R133" s="53"/>
      <c r="S133" s="53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34"/>
      <c r="BP133" s="22"/>
    </row>
    <row r="134" spans="1:68" s="3" customFormat="1" ht="25.5" hidden="1" customHeight="1">
      <c r="A134" s="22" t="s">
        <v>69</v>
      </c>
      <c r="B134" s="3">
        <v>34718044</v>
      </c>
      <c r="C134" s="3" t="s">
        <v>70</v>
      </c>
      <c r="D134" s="3" t="s">
        <v>71</v>
      </c>
      <c r="E134" s="6">
        <v>71134599439</v>
      </c>
      <c r="F134" s="3" t="s">
        <v>82</v>
      </c>
      <c r="G134" s="64">
        <v>7</v>
      </c>
      <c r="H134" s="3" t="s">
        <v>284</v>
      </c>
      <c r="I134" s="41"/>
      <c r="J134" s="63" t="s">
        <v>77</v>
      </c>
      <c r="K134" s="57"/>
      <c r="L134" s="76">
        <v>0</v>
      </c>
      <c r="M134" s="81">
        <v>0</v>
      </c>
      <c r="N134" s="81">
        <f>(Tabela1[[#This Row],[SIMULADO 2 NOTA]]-Tabela1[[#This Row],[SIMULADO 1 - NOTA]])</f>
        <v>0</v>
      </c>
      <c r="O134" s="53"/>
      <c r="P134" s="53"/>
      <c r="Q134" s="53"/>
      <c r="R134" s="53"/>
      <c r="S134" s="53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34"/>
      <c r="BP134" s="22"/>
    </row>
    <row r="135" spans="1:68" s="3" customFormat="1" ht="25.5" customHeight="1">
      <c r="A135" s="22" t="s">
        <v>69</v>
      </c>
      <c r="B135" s="3">
        <v>29913543</v>
      </c>
      <c r="C135" s="3" t="s">
        <v>70</v>
      </c>
      <c r="D135" s="3" t="s">
        <v>71</v>
      </c>
      <c r="E135" s="6">
        <v>10484339435</v>
      </c>
      <c r="F135" s="3" t="s">
        <v>78</v>
      </c>
      <c r="G135" s="64">
        <v>9</v>
      </c>
      <c r="H135" s="15" t="s">
        <v>285</v>
      </c>
      <c r="I135" s="40" t="s">
        <v>74</v>
      </c>
      <c r="J135" s="63" t="s">
        <v>75</v>
      </c>
      <c r="K135" s="58" t="s">
        <v>286</v>
      </c>
      <c r="L135" s="75">
        <v>55</v>
      </c>
      <c r="M135" s="81">
        <v>39</v>
      </c>
      <c r="N135" s="84">
        <f>(Tabela1[[#This Row],[SIMULADO 2 NOTA]]-Tabela1[[#This Row],[SIMULADO 1 - NOTA]])</f>
        <v>-16</v>
      </c>
      <c r="O135" s="54"/>
      <c r="P135" s="54"/>
      <c r="Q135" s="54"/>
      <c r="R135" s="54"/>
      <c r="S135" s="54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34"/>
      <c r="BP135" s="22"/>
    </row>
    <row r="136" spans="1:68" s="3" customFormat="1" ht="25.5" customHeight="1">
      <c r="A136" s="22" t="s">
        <v>69</v>
      </c>
      <c r="B136" s="3">
        <v>25174487</v>
      </c>
      <c r="C136" s="3" t="s">
        <v>70</v>
      </c>
      <c r="D136" s="3" t="s">
        <v>71</v>
      </c>
      <c r="E136" s="6">
        <v>11993968423</v>
      </c>
      <c r="F136" s="3" t="s">
        <v>72</v>
      </c>
      <c r="G136" s="64">
        <v>11</v>
      </c>
      <c r="H136" s="18" t="s">
        <v>287</v>
      </c>
      <c r="I136" s="43" t="s">
        <v>84</v>
      </c>
      <c r="J136" s="63" t="s">
        <v>77</v>
      </c>
      <c r="K136" s="58" t="s">
        <v>107</v>
      </c>
      <c r="L136" s="75">
        <v>48</v>
      </c>
      <c r="M136" s="82">
        <v>38</v>
      </c>
      <c r="N136" s="84">
        <f>(Tabela1[[#This Row],[SIMULADO 2 NOTA]]-Tabela1[[#This Row],[SIMULADO 1 - NOTA]])</f>
        <v>-10</v>
      </c>
      <c r="O136" s="78"/>
      <c r="P136" s="78"/>
      <c r="Q136" s="78"/>
      <c r="R136" s="78"/>
      <c r="S136" s="78"/>
      <c r="T136" s="68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34"/>
      <c r="BP136" s="22"/>
    </row>
    <row r="137" spans="1:68" s="3" customFormat="1" ht="25.5" customHeight="1">
      <c r="A137" s="22" t="s">
        <v>69</v>
      </c>
      <c r="B137" s="3">
        <v>25495836</v>
      </c>
      <c r="C137" s="3" t="s">
        <v>70</v>
      </c>
      <c r="D137" s="3" t="s">
        <v>71</v>
      </c>
      <c r="E137" s="6">
        <v>6458615370</v>
      </c>
      <c r="F137" s="3" t="s">
        <v>72</v>
      </c>
      <c r="G137" s="64">
        <v>11</v>
      </c>
      <c r="H137" s="15" t="s">
        <v>288</v>
      </c>
      <c r="I137" s="40" t="s">
        <v>74</v>
      </c>
      <c r="J137" s="63" t="s">
        <v>77</v>
      </c>
      <c r="K137" s="58" t="s">
        <v>156</v>
      </c>
      <c r="L137" s="75">
        <v>52</v>
      </c>
      <c r="M137" s="82">
        <v>43</v>
      </c>
      <c r="N137" s="84">
        <f>(Tabela1[[#This Row],[SIMULADO 2 NOTA]]-Tabela1[[#This Row],[SIMULADO 1 - NOTA]])</f>
        <v>-9</v>
      </c>
      <c r="O137" s="78"/>
      <c r="P137" s="78"/>
      <c r="Q137" s="78"/>
      <c r="R137" s="78"/>
      <c r="S137" s="78"/>
      <c r="T137" s="68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34"/>
      <c r="BP137" s="22"/>
    </row>
    <row r="138" spans="1:68" s="3" customFormat="1" ht="25.5" customHeight="1">
      <c r="A138" s="22" t="s">
        <v>69</v>
      </c>
      <c r="B138" s="3">
        <v>31286356</v>
      </c>
      <c r="C138" s="3" t="s">
        <v>70</v>
      </c>
      <c r="D138" s="3" t="s">
        <v>71</v>
      </c>
      <c r="E138" s="6">
        <v>932220410</v>
      </c>
      <c r="F138" s="3" t="s">
        <v>72</v>
      </c>
      <c r="G138" s="64">
        <v>11</v>
      </c>
      <c r="H138" s="3" t="s">
        <v>289</v>
      </c>
      <c r="I138" s="41"/>
      <c r="J138" s="63" t="s">
        <v>77</v>
      </c>
      <c r="K138" s="58" t="s">
        <v>290</v>
      </c>
      <c r="L138" s="75">
        <v>71</v>
      </c>
      <c r="M138" s="82">
        <v>61</v>
      </c>
      <c r="N138" s="84">
        <f>(Tabela1[[#This Row],[SIMULADO 2 NOTA]]-Tabela1[[#This Row],[SIMULADO 1 - NOTA]])</f>
        <v>-10</v>
      </c>
      <c r="O138" s="78"/>
      <c r="P138" s="78"/>
      <c r="Q138" s="78"/>
      <c r="R138" s="78"/>
      <c r="S138" s="78"/>
      <c r="T138" s="68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34"/>
      <c r="BP138" s="22"/>
    </row>
    <row r="139" spans="1:68" s="3" customFormat="1" ht="25.5" customHeight="1">
      <c r="A139" s="22" t="s">
        <v>69</v>
      </c>
      <c r="B139" s="3">
        <v>29720192</v>
      </c>
      <c r="C139" s="3" t="s">
        <v>70</v>
      </c>
      <c r="D139" s="3" t="s">
        <v>71</v>
      </c>
      <c r="E139" s="6">
        <v>5293223402</v>
      </c>
      <c r="F139" s="3" t="s">
        <v>82</v>
      </c>
      <c r="G139" s="64">
        <v>9</v>
      </c>
      <c r="H139" s="3" t="s">
        <v>291</v>
      </c>
      <c r="I139" s="41"/>
      <c r="J139" s="63" t="s">
        <v>75</v>
      </c>
      <c r="K139" s="58" t="s">
        <v>127</v>
      </c>
      <c r="L139" s="76">
        <v>0</v>
      </c>
      <c r="M139" s="81">
        <v>37</v>
      </c>
      <c r="N139" s="79">
        <f>(Tabela1[[#This Row],[SIMULADO 2 NOTA]]-Tabela1[[#This Row],[SIMULADO 1 - NOTA]])</f>
        <v>37</v>
      </c>
      <c r="O139" s="70"/>
      <c r="P139" s="70"/>
      <c r="Q139" s="70"/>
      <c r="R139" s="70"/>
      <c r="S139" s="70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34"/>
      <c r="BP139" s="22"/>
    </row>
    <row r="140" spans="1:68" s="3" customFormat="1" ht="25.5" customHeight="1">
      <c r="A140" s="22" t="s">
        <v>69</v>
      </c>
      <c r="B140" s="11">
        <v>23536161</v>
      </c>
      <c r="C140" s="3" t="s">
        <v>70</v>
      </c>
      <c r="D140" s="5" t="s">
        <v>109</v>
      </c>
      <c r="E140" s="6"/>
      <c r="F140" s="11" t="s">
        <v>72</v>
      </c>
      <c r="G140" s="66">
        <v>11</v>
      </c>
      <c r="H140" s="12" t="s">
        <v>292</v>
      </c>
      <c r="I140" s="42" t="s">
        <v>80</v>
      </c>
      <c r="J140" s="63" t="s">
        <v>75</v>
      </c>
      <c r="K140" s="59"/>
      <c r="L140" s="76">
        <v>0</v>
      </c>
      <c r="M140" s="82">
        <v>37</v>
      </c>
      <c r="N140" s="92">
        <f>(Tabela1[[#This Row],[SIMULADO 2 NOTA]]-Tabela1[[#This Row],[SIMULADO 1 - NOTA]])</f>
        <v>37</v>
      </c>
      <c r="O140" s="53"/>
      <c r="P140" s="53"/>
      <c r="Q140" s="53"/>
      <c r="R140" s="53"/>
      <c r="S140" s="53"/>
      <c r="T140" s="7">
        <v>0</v>
      </c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 t="s">
        <v>87</v>
      </c>
      <c r="BI140" s="7" t="s">
        <v>87</v>
      </c>
      <c r="BJ140" s="7" t="s">
        <v>87</v>
      </c>
      <c r="BK140" s="7" t="s">
        <v>87</v>
      </c>
      <c r="BL140" s="7"/>
      <c r="BM140" s="7"/>
      <c r="BN140" s="7"/>
      <c r="BO140" s="34"/>
      <c r="BP140" s="22"/>
    </row>
    <row r="141" spans="1:68" s="3" customFormat="1" ht="25.5" hidden="1" customHeight="1">
      <c r="A141" s="22" t="s">
        <v>69</v>
      </c>
      <c r="B141" s="3">
        <v>38143259</v>
      </c>
      <c r="C141" s="3" t="s">
        <v>70</v>
      </c>
      <c r="D141" s="3" t="s">
        <v>71</v>
      </c>
      <c r="E141" s="6">
        <v>8123345402</v>
      </c>
      <c r="F141" s="3" t="s">
        <v>82</v>
      </c>
      <c r="G141" s="64">
        <v>9</v>
      </c>
      <c r="H141" s="15" t="s">
        <v>293</v>
      </c>
      <c r="I141" s="40" t="s">
        <v>74</v>
      </c>
      <c r="J141" s="63" t="s">
        <v>75</v>
      </c>
      <c r="K141" s="58" t="s">
        <v>294</v>
      </c>
      <c r="L141" s="75">
        <v>58</v>
      </c>
      <c r="M141" s="81">
        <v>0</v>
      </c>
      <c r="N141" s="84">
        <f>(Tabela1[[#This Row],[SIMULADO 2 NOTA]]-Tabela1[[#This Row],[SIMULADO 1 - NOTA]])</f>
        <v>-58</v>
      </c>
      <c r="O141" s="54"/>
      <c r="P141" s="54"/>
      <c r="Q141" s="54"/>
      <c r="R141" s="54"/>
      <c r="S141" s="54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34"/>
      <c r="BP141" s="22"/>
    </row>
    <row r="142" spans="1:68" s="3" customFormat="1" ht="25.5" customHeight="1">
      <c r="A142" s="22" t="s">
        <v>69</v>
      </c>
      <c r="B142" s="3">
        <v>25489917</v>
      </c>
      <c r="C142" s="3" t="s">
        <v>70</v>
      </c>
      <c r="D142" s="3" t="s">
        <v>71</v>
      </c>
      <c r="E142" s="6">
        <v>10715484419</v>
      </c>
      <c r="F142" s="3" t="s">
        <v>72</v>
      </c>
      <c r="G142" s="64">
        <v>11</v>
      </c>
      <c r="H142" s="15" t="s">
        <v>295</v>
      </c>
      <c r="I142" s="40" t="s">
        <v>74</v>
      </c>
      <c r="J142" s="63" t="s">
        <v>77</v>
      </c>
      <c r="K142" s="58" t="s">
        <v>296</v>
      </c>
      <c r="L142" s="75">
        <v>58</v>
      </c>
      <c r="M142" s="82">
        <v>38</v>
      </c>
      <c r="N142" s="84">
        <f>(Tabela1[[#This Row],[SIMULADO 2 NOTA]]-Tabela1[[#This Row],[SIMULADO 1 - NOTA]])</f>
        <v>-20</v>
      </c>
      <c r="O142" s="78"/>
      <c r="P142" s="78"/>
      <c r="Q142" s="78"/>
      <c r="R142" s="78"/>
      <c r="S142" s="78"/>
      <c r="T142" s="68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34"/>
      <c r="BP142" s="22"/>
    </row>
    <row r="143" spans="1:68" s="3" customFormat="1" ht="25.5" hidden="1" customHeight="1">
      <c r="A143" s="22" t="s">
        <v>69</v>
      </c>
      <c r="B143" s="3">
        <v>25489771</v>
      </c>
      <c r="C143" s="3" t="s">
        <v>70</v>
      </c>
      <c r="D143" s="3" t="s">
        <v>71</v>
      </c>
      <c r="E143" s="6">
        <v>13439705471</v>
      </c>
      <c r="F143" s="3" t="s">
        <v>91</v>
      </c>
      <c r="G143" s="64">
        <v>9</v>
      </c>
      <c r="H143" s="3" t="s">
        <v>297</v>
      </c>
      <c r="I143" s="41"/>
      <c r="J143" s="63" t="s">
        <v>75</v>
      </c>
      <c r="K143" s="58" t="s">
        <v>89</v>
      </c>
      <c r="L143" s="76">
        <v>0</v>
      </c>
      <c r="M143" s="81">
        <v>0</v>
      </c>
      <c r="N143" s="81">
        <f>(Tabela1[[#This Row],[SIMULADO 2 NOTA]]-Tabela1[[#This Row],[SIMULADO 1 - NOTA]])</f>
        <v>0</v>
      </c>
      <c r="O143" s="70"/>
      <c r="P143" s="70"/>
      <c r="Q143" s="70"/>
      <c r="R143" s="70"/>
      <c r="S143" s="70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34"/>
      <c r="BP143" s="22"/>
    </row>
    <row r="144" spans="1:68" s="3" customFormat="1" ht="25.5" hidden="1" customHeight="1">
      <c r="A144" s="22" t="s">
        <v>69</v>
      </c>
      <c r="B144" s="3">
        <v>32719884</v>
      </c>
      <c r="C144" s="3" t="s">
        <v>70</v>
      </c>
      <c r="D144" s="3" t="s">
        <v>71</v>
      </c>
      <c r="E144" s="6">
        <v>10352634405</v>
      </c>
      <c r="F144" s="3" t="s">
        <v>91</v>
      </c>
      <c r="G144" s="64">
        <v>7</v>
      </c>
      <c r="H144" s="3" t="s">
        <v>298</v>
      </c>
      <c r="I144" s="41"/>
      <c r="J144" s="63" t="s">
        <v>77</v>
      </c>
      <c r="K144" s="57"/>
      <c r="L144" s="76">
        <v>0</v>
      </c>
      <c r="M144" s="81">
        <v>0</v>
      </c>
      <c r="N144" s="81">
        <f>(Tabela1[[#This Row],[SIMULADO 2 NOTA]]-Tabela1[[#This Row],[SIMULADO 1 - NOTA]])</f>
        <v>0</v>
      </c>
      <c r="O144" s="53"/>
      <c r="P144" s="53"/>
      <c r="Q144" s="53"/>
      <c r="R144" s="53"/>
      <c r="S144" s="53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34"/>
      <c r="BP144" s="22"/>
    </row>
    <row r="145" spans="1:68" s="3" customFormat="1" ht="25.5" customHeight="1">
      <c r="A145" s="22" t="s">
        <v>69</v>
      </c>
      <c r="B145" s="3">
        <v>29010632</v>
      </c>
      <c r="C145" s="3" t="s">
        <v>70</v>
      </c>
      <c r="D145" s="3" t="s">
        <v>71</v>
      </c>
      <c r="E145" s="6">
        <v>5197762403</v>
      </c>
      <c r="F145" s="3" t="s">
        <v>91</v>
      </c>
      <c r="G145" s="64">
        <v>9</v>
      </c>
      <c r="H145" s="3" t="s">
        <v>299</v>
      </c>
      <c r="I145" s="41"/>
      <c r="J145" s="63" t="s">
        <v>75</v>
      </c>
      <c r="K145" s="58" t="s">
        <v>216</v>
      </c>
      <c r="L145" s="75">
        <v>72</v>
      </c>
      <c r="M145" s="81">
        <v>58</v>
      </c>
      <c r="N145" s="84">
        <f>(Tabela1[[#This Row],[SIMULADO 2 NOTA]]-Tabela1[[#This Row],[SIMULADO 1 - NOTA]])</f>
        <v>-14</v>
      </c>
      <c r="O145" s="52"/>
      <c r="P145" s="52"/>
      <c r="Q145" s="52"/>
      <c r="R145" s="52"/>
      <c r="S145" s="52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34"/>
      <c r="BP145" s="22"/>
    </row>
    <row r="146" spans="1:68" s="3" customFormat="1" ht="25.5" hidden="1" customHeight="1">
      <c r="A146" s="22" t="s">
        <v>69</v>
      </c>
      <c r="B146" s="5">
        <v>32716494</v>
      </c>
      <c r="C146" s="3" t="s">
        <v>70</v>
      </c>
      <c r="D146" s="3" t="s">
        <v>71</v>
      </c>
      <c r="E146" s="6">
        <v>70048046400</v>
      </c>
      <c r="F146" s="3" t="s">
        <v>78</v>
      </c>
      <c r="G146" s="64">
        <v>7</v>
      </c>
      <c r="H146" s="3" t="s">
        <v>300</v>
      </c>
      <c r="I146" s="41"/>
      <c r="J146" s="63" t="s">
        <v>77</v>
      </c>
      <c r="K146" s="57"/>
      <c r="L146" s="76">
        <v>0</v>
      </c>
      <c r="M146" s="81">
        <v>0</v>
      </c>
      <c r="N146" s="81">
        <f>(Tabela1[[#This Row],[SIMULADO 2 NOTA]]-Tabela1[[#This Row],[SIMULADO 1 - NOTA]])</f>
        <v>0</v>
      </c>
      <c r="O146" s="53"/>
      <c r="P146" s="53"/>
      <c r="Q146" s="53"/>
      <c r="R146" s="53"/>
      <c r="S146" s="53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34"/>
      <c r="BP146" s="22"/>
    </row>
    <row r="147" spans="1:68" s="3" customFormat="1" ht="25.5" customHeight="1">
      <c r="A147" s="22" t="s">
        <v>69</v>
      </c>
      <c r="B147" s="3">
        <v>29328632</v>
      </c>
      <c r="C147" s="3" t="s">
        <v>70</v>
      </c>
      <c r="D147" s="3" t="s">
        <v>71</v>
      </c>
      <c r="E147" s="6">
        <v>70510058477</v>
      </c>
      <c r="F147" s="3" t="s">
        <v>82</v>
      </c>
      <c r="G147" s="64">
        <v>9</v>
      </c>
      <c r="H147" s="15" t="s">
        <v>301</v>
      </c>
      <c r="I147" s="40" t="s">
        <v>74</v>
      </c>
      <c r="J147" s="63" t="s">
        <v>75</v>
      </c>
      <c r="K147" s="58" t="s">
        <v>183</v>
      </c>
      <c r="L147" s="75">
        <v>58</v>
      </c>
      <c r="M147" s="81">
        <v>54</v>
      </c>
      <c r="N147" s="84">
        <f>(Tabela1[[#This Row],[SIMULADO 2 NOTA]]-Tabela1[[#This Row],[SIMULADO 1 - NOTA]])</f>
        <v>-4</v>
      </c>
      <c r="O147" s="52"/>
      <c r="P147" s="52"/>
      <c r="Q147" s="52"/>
      <c r="R147" s="52"/>
      <c r="S147" s="52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34"/>
      <c r="BP147" s="22"/>
    </row>
    <row r="148" spans="1:68" s="3" customFormat="1" ht="25.5" customHeight="1">
      <c r="A148" s="22" t="s">
        <v>69</v>
      </c>
      <c r="B148" s="3">
        <v>29241553</v>
      </c>
      <c r="C148" s="3" t="s">
        <v>70</v>
      </c>
      <c r="D148" s="3" t="s">
        <v>71</v>
      </c>
      <c r="E148" s="6">
        <v>9962114462</v>
      </c>
      <c r="F148" s="3" t="s">
        <v>78</v>
      </c>
      <c r="G148" s="64">
        <v>9</v>
      </c>
      <c r="H148" s="18" t="s">
        <v>302</v>
      </c>
      <c r="I148" s="43" t="s">
        <v>84</v>
      </c>
      <c r="J148" s="63" t="s">
        <v>75</v>
      </c>
      <c r="K148" s="58" t="s">
        <v>303</v>
      </c>
      <c r="L148" s="75">
        <v>49</v>
      </c>
      <c r="M148" s="81">
        <v>39</v>
      </c>
      <c r="N148" s="84">
        <f>(Tabela1[[#This Row],[SIMULADO 2 NOTA]]-Tabela1[[#This Row],[SIMULADO 1 - NOTA]])</f>
        <v>-10</v>
      </c>
      <c r="O148" s="54"/>
      <c r="P148" s="54"/>
      <c r="Q148" s="54"/>
      <c r="R148" s="54"/>
      <c r="S148" s="54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34"/>
      <c r="BP148" s="22"/>
    </row>
    <row r="149" spans="1:68" s="3" customFormat="1" ht="25.5" customHeight="1">
      <c r="A149" s="22" t="s">
        <v>69</v>
      </c>
      <c r="B149" s="3">
        <v>25566440</v>
      </c>
      <c r="C149" s="3" t="s">
        <v>70</v>
      </c>
      <c r="D149" s="3" t="s">
        <v>71</v>
      </c>
      <c r="E149" s="6">
        <v>7773741450</v>
      </c>
      <c r="F149" s="3" t="s">
        <v>72</v>
      </c>
      <c r="G149" s="64">
        <v>11</v>
      </c>
      <c r="H149" s="3" t="s">
        <v>304</v>
      </c>
      <c r="I149" s="41"/>
      <c r="J149" s="63" t="s">
        <v>77</v>
      </c>
      <c r="K149" s="58" t="s">
        <v>156</v>
      </c>
      <c r="L149" s="75">
        <v>62</v>
      </c>
      <c r="M149" s="82">
        <v>51</v>
      </c>
      <c r="N149" s="84">
        <f>(Tabela1[[#This Row],[SIMULADO 2 NOTA]]-Tabela1[[#This Row],[SIMULADO 1 - NOTA]])</f>
        <v>-11</v>
      </c>
      <c r="O149" s="78"/>
      <c r="P149" s="78"/>
      <c r="Q149" s="78"/>
      <c r="R149" s="78"/>
      <c r="S149" s="78"/>
      <c r="T149" s="68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34"/>
      <c r="BP149" s="22"/>
    </row>
    <row r="150" spans="1:68" s="3" customFormat="1" ht="25.5" customHeight="1">
      <c r="A150" s="22" t="s">
        <v>69</v>
      </c>
      <c r="B150" s="3">
        <v>28990609</v>
      </c>
      <c r="C150" s="3" t="s">
        <v>70</v>
      </c>
      <c r="D150" s="3" t="s">
        <v>71</v>
      </c>
      <c r="E150" s="6">
        <v>70882861492</v>
      </c>
      <c r="F150" s="3" t="s">
        <v>78</v>
      </c>
      <c r="G150" s="64">
        <v>9</v>
      </c>
      <c r="H150" s="15" t="s">
        <v>305</v>
      </c>
      <c r="I150" s="40" t="s">
        <v>74</v>
      </c>
      <c r="J150" s="63" t="s">
        <v>75</v>
      </c>
      <c r="K150" s="58" t="s">
        <v>306</v>
      </c>
      <c r="L150" s="75">
        <v>53</v>
      </c>
      <c r="M150" s="81">
        <v>47</v>
      </c>
      <c r="N150" s="84">
        <f>(Tabela1[[#This Row],[SIMULADO 2 NOTA]]-Tabela1[[#This Row],[SIMULADO 1 - NOTA]])</f>
        <v>-6</v>
      </c>
      <c r="O150" s="71"/>
      <c r="P150" s="71"/>
      <c r="Q150" s="71"/>
      <c r="R150" s="71"/>
      <c r="S150" s="71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34"/>
      <c r="BP150" s="22"/>
    </row>
    <row r="151" spans="1:68" s="3" customFormat="1" ht="25.5" hidden="1" customHeight="1">
      <c r="A151" s="22" t="s">
        <v>69</v>
      </c>
      <c r="B151" s="3">
        <v>32215541</v>
      </c>
      <c r="C151" s="3" t="s">
        <v>70</v>
      </c>
      <c r="D151" s="3" t="s">
        <v>71</v>
      </c>
      <c r="E151" s="6">
        <v>8982044450</v>
      </c>
      <c r="F151" s="3" t="s">
        <v>72</v>
      </c>
      <c r="G151" s="64">
        <v>11</v>
      </c>
      <c r="H151" s="18" t="s">
        <v>307</v>
      </c>
      <c r="I151" s="43" t="s">
        <v>84</v>
      </c>
      <c r="J151" s="63" t="s">
        <v>77</v>
      </c>
      <c r="K151" s="58" t="s">
        <v>247</v>
      </c>
      <c r="L151" s="75">
        <v>42</v>
      </c>
      <c r="M151" s="81">
        <v>0</v>
      </c>
      <c r="N151" s="84">
        <f>(Tabela1[[#This Row],[SIMULADO 2 NOTA]]-Tabela1[[#This Row],[SIMULADO 1 - NOTA]])</f>
        <v>-42</v>
      </c>
      <c r="O151" s="78"/>
      <c r="P151" s="78"/>
      <c r="Q151" s="78"/>
      <c r="R151" s="78"/>
      <c r="S151" s="78"/>
      <c r="T151" s="68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34"/>
      <c r="BP151" s="22"/>
    </row>
    <row r="152" spans="1:68" s="3" customFormat="1" ht="25.5" customHeight="1">
      <c r="A152" s="22" t="s">
        <v>69</v>
      </c>
      <c r="B152" s="3">
        <v>25161890</v>
      </c>
      <c r="C152" s="3" t="s">
        <v>70</v>
      </c>
      <c r="D152" s="3" t="s">
        <v>71</v>
      </c>
      <c r="E152" s="6">
        <v>9442619497</v>
      </c>
      <c r="F152" s="3" t="s">
        <v>72</v>
      </c>
      <c r="G152" s="64">
        <v>11</v>
      </c>
      <c r="H152" s="15" t="s">
        <v>308</v>
      </c>
      <c r="I152" s="40" t="s">
        <v>74</v>
      </c>
      <c r="J152" s="63" t="s">
        <v>77</v>
      </c>
      <c r="K152" s="58" t="s">
        <v>296</v>
      </c>
      <c r="L152" s="75">
        <v>60</v>
      </c>
      <c r="M152" s="82">
        <v>47</v>
      </c>
      <c r="N152" s="84">
        <f>(Tabela1[[#This Row],[SIMULADO 2 NOTA]]-Tabela1[[#This Row],[SIMULADO 1 - NOTA]])</f>
        <v>-13</v>
      </c>
      <c r="O152" s="78"/>
      <c r="P152" s="78"/>
      <c r="Q152" s="78"/>
      <c r="R152" s="78"/>
      <c r="S152" s="78"/>
      <c r="T152" s="68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34"/>
      <c r="BP152" s="22"/>
    </row>
    <row r="153" spans="1:68" s="3" customFormat="1" ht="25.5" customHeight="1">
      <c r="A153" s="22" t="s">
        <v>69</v>
      </c>
      <c r="B153" s="3">
        <v>33375488</v>
      </c>
      <c r="C153" s="3" t="s">
        <v>70</v>
      </c>
      <c r="D153" s="3" t="s">
        <v>71</v>
      </c>
      <c r="E153" s="6">
        <v>13039065467</v>
      </c>
      <c r="F153" s="3" t="s">
        <v>91</v>
      </c>
      <c r="G153" s="64">
        <v>7</v>
      </c>
      <c r="H153" s="3" t="s">
        <v>309</v>
      </c>
      <c r="I153" s="41"/>
      <c r="J153" s="63" t="s">
        <v>77</v>
      </c>
      <c r="K153" s="57"/>
      <c r="L153" s="76">
        <v>0</v>
      </c>
      <c r="M153" s="81">
        <v>36</v>
      </c>
      <c r="N153" s="79">
        <f>(Tabela1[[#This Row],[SIMULADO 2 NOTA]]-Tabela1[[#This Row],[SIMULADO 1 - NOTA]])</f>
        <v>36</v>
      </c>
      <c r="O153" s="73"/>
      <c r="P153" s="73"/>
      <c r="Q153" s="73"/>
      <c r="R153" s="73"/>
      <c r="S153" s="73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34"/>
      <c r="BP153" s="22"/>
    </row>
    <row r="154" spans="1:68" s="3" customFormat="1" ht="25.5" customHeight="1">
      <c r="A154" s="22" t="s">
        <v>69</v>
      </c>
      <c r="B154" s="3">
        <v>25571010</v>
      </c>
      <c r="C154" s="3" t="s">
        <v>70</v>
      </c>
      <c r="D154" s="3" t="s">
        <v>71</v>
      </c>
      <c r="E154" s="6">
        <v>875064400</v>
      </c>
      <c r="F154" s="3" t="s">
        <v>82</v>
      </c>
      <c r="G154" s="64">
        <v>11</v>
      </c>
      <c r="H154" s="3" t="s">
        <v>310</v>
      </c>
      <c r="I154" s="41"/>
      <c r="J154" s="63" t="s">
        <v>77</v>
      </c>
      <c r="K154" s="58" t="s">
        <v>270</v>
      </c>
      <c r="L154" s="75">
        <v>61</v>
      </c>
      <c r="M154" s="82">
        <v>46</v>
      </c>
      <c r="N154" s="84">
        <f>(Tabela1[[#This Row],[SIMULADO 2 NOTA]]-Tabela1[[#This Row],[SIMULADO 1 - NOTA]])</f>
        <v>-15</v>
      </c>
      <c r="O154" s="78"/>
      <c r="P154" s="78"/>
      <c r="Q154" s="78"/>
      <c r="R154" s="78"/>
      <c r="S154" s="78"/>
      <c r="T154" s="68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34"/>
      <c r="BP154" s="22"/>
    </row>
    <row r="155" spans="1:68" s="3" customFormat="1" ht="25.5" hidden="1" customHeight="1">
      <c r="A155" s="22" t="s">
        <v>69</v>
      </c>
      <c r="B155" s="3">
        <v>28931891</v>
      </c>
      <c r="C155" s="3" t="s">
        <v>70</v>
      </c>
      <c r="D155" s="3" t="s">
        <v>71</v>
      </c>
      <c r="E155" s="6">
        <v>71501532405</v>
      </c>
      <c r="F155" s="3" t="s">
        <v>91</v>
      </c>
      <c r="G155" s="64">
        <v>9</v>
      </c>
      <c r="H155" s="18" t="s">
        <v>311</v>
      </c>
      <c r="I155" s="43" t="s">
        <v>84</v>
      </c>
      <c r="J155" s="63" t="s">
        <v>75</v>
      </c>
      <c r="K155" s="58" t="s">
        <v>312</v>
      </c>
      <c r="L155" s="75">
        <v>47</v>
      </c>
      <c r="M155" s="81">
        <v>0</v>
      </c>
      <c r="N155" s="84">
        <f>(Tabela1[[#This Row],[SIMULADO 2 NOTA]]-Tabela1[[#This Row],[SIMULADO 1 - NOTA]])</f>
        <v>-47</v>
      </c>
      <c r="O155" s="72"/>
      <c r="P155" s="72"/>
      <c r="Q155" s="72"/>
      <c r="R155" s="72"/>
      <c r="S155" s="72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34"/>
      <c r="BP155" s="22"/>
    </row>
    <row r="156" spans="1:68" s="3" customFormat="1" ht="25.5" hidden="1" customHeight="1">
      <c r="A156" s="22" t="s">
        <v>69</v>
      </c>
      <c r="B156" s="3">
        <v>32652119</v>
      </c>
      <c r="C156" s="3" t="s">
        <v>70</v>
      </c>
      <c r="D156" s="3" t="s">
        <v>71</v>
      </c>
      <c r="E156" s="6">
        <v>5644072401</v>
      </c>
      <c r="F156" s="3" t="s">
        <v>91</v>
      </c>
      <c r="G156" s="64">
        <v>7</v>
      </c>
      <c r="H156" s="3" t="s">
        <v>313</v>
      </c>
      <c r="I156" s="41"/>
      <c r="J156" s="63" t="s">
        <v>77</v>
      </c>
      <c r="K156" s="57"/>
      <c r="L156" s="76">
        <v>0</v>
      </c>
      <c r="M156" s="81">
        <v>0</v>
      </c>
      <c r="N156" s="81">
        <f>(Tabela1[[#This Row],[SIMULADO 2 NOTA]]-Tabela1[[#This Row],[SIMULADO 1 - NOTA]])</f>
        <v>0</v>
      </c>
      <c r="O156" s="53"/>
      <c r="P156" s="53"/>
      <c r="Q156" s="53"/>
      <c r="R156" s="53"/>
      <c r="S156" s="53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34"/>
      <c r="BP156" s="22"/>
    </row>
    <row r="157" spans="1:68" s="3" customFormat="1" ht="25.5" customHeight="1">
      <c r="A157" s="22" t="s">
        <v>69</v>
      </c>
      <c r="B157" s="3">
        <v>35395958</v>
      </c>
      <c r="C157" s="3" t="s">
        <v>70</v>
      </c>
      <c r="D157" s="3" t="s">
        <v>71</v>
      </c>
      <c r="E157" s="6">
        <v>6962776462</v>
      </c>
      <c r="F157" s="3" t="s">
        <v>72</v>
      </c>
      <c r="G157" s="64">
        <v>9</v>
      </c>
      <c r="H157" s="3" t="s">
        <v>314</v>
      </c>
      <c r="I157" s="41"/>
      <c r="J157" s="63" t="s">
        <v>75</v>
      </c>
      <c r="K157" s="58" t="s">
        <v>230</v>
      </c>
      <c r="L157" s="75">
        <v>63</v>
      </c>
      <c r="M157" s="81">
        <v>47</v>
      </c>
      <c r="N157" s="84">
        <f>(Tabela1[[#This Row],[SIMULADO 2 NOTA]]-Tabela1[[#This Row],[SIMULADO 1 - NOTA]])</f>
        <v>-16</v>
      </c>
      <c r="O157" s="52"/>
      <c r="P157" s="52"/>
      <c r="Q157" s="52"/>
      <c r="R157" s="52"/>
      <c r="S157" s="52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34"/>
      <c r="BP157" s="22"/>
    </row>
    <row r="158" spans="1:68" s="3" customFormat="1" ht="25.5" customHeight="1">
      <c r="A158" s="22" t="s">
        <v>69</v>
      </c>
      <c r="B158" s="3">
        <v>30652855</v>
      </c>
      <c r="C158" s="3" t="s">
        <v>70</v>
      </c>
      <c r="D158" s="3" t="s">
        <v>71</v>
      </c>
      <c r="E158" s="6">
        <v>82649979291</v>
      </c>
      <c r="F158" s="3" t="s">
        <v>91</v>
      </c>
      <c r="G158" s="64">
        <v>9</v>
      </c>
      <c r="H158" s="18" t="s">
        <v>315</v>
      </c>
      <c r="I158" s="43" t="s">
        <v>84</v>
      </c>
      <c r="J158" s="63" t="s">
        <v>75</v>
      </c>
      <c r="K158" s="58" t="s">
        <v>316</v>
      </c>
      <c r="L158" s="75">
        <v>49</v>
      </c>
      <c r="M158" s="81">
        <v>50</v>
      </c>
      <c r="N158" s="79">
        <f>(Tabela1[[#This Row],[SIMULADO 2 NOTA]]-Tabela1[[#This Row],[SIMULADO 1 - NOTA]])</f>
        <v>1</v>
      </c>
      <c r="O158" s="52"/>
      <c r="P158" s="52"/>
      <c r="Q158" s="52"/>
      <c r="R158" s="52"/>
      <c r="S158" s="52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34"/>
      <c r="BP158" s="22"/>
    </row>
    <row r="159" spans="1:68" s="3" customFormat="1" ht="25.5" customHeight="1">
      <c r="A159" s="22" t="s">
        <v>69</v>
      </c>
      <c r="B159" s="3">
        <v>33284679</v>
      </c>
      <c r="C159" s="3" t="s">
        <v>70</v>
      </c>
      <c r="D159" s="3" t="s">
        <v>71</v>
      </c>
      <c r="E159" s="6">
        <v>1643868403</v>
      </c>
      <c r="F159" s="3" t="s">
        <v>82</v>
      </c>
      <c r="G159" s="64">
        <v>7</v>
      </c>
      <c r="H159" s="3" t="s">
        <v>317</v>
      </c>
      <c r="I159" s="41"/>
      <c r="J159" s="63" t="s">
        <v>77</v>
      </c>
      <c r="K159" s="57"/>
      <c r="L159" s="76">
        <v>0</v>
      </c>
      <c r="M159" s="81">
        <v>43</v>
      </c>
      <c r="N159" s="79">
        <f>(Tabela1[[#This Row],[SIMULADO 2 NOTA]]-Tabela1[[#This Row],[SIMULADO 1 - NOTA]])</f>
        <v>43</v>
      </c>
      <c r="O159" s="53"/>
      <c r="P159" s="53"/>
      <c r="Q159" s="53"/>
      <c r="R159" s="53"/>
      <c r="S159" s="53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34"/>
      <c r="BP159" s="22"/>
    </row>
    <row r="160" spans="1:68" s="3" customFormat="1" ht="25.5" customHeight="1">
      <c r="A160" s="22" t="s">
        <v>69</v>
      </c>
      <c r="B160" s="3">
        <v>28953266</v>
      </c>
      <c r="C160" s="3" t="s">
        <v>70</v>
      </c>
      <c r="D160" s="3" t="s">
        <v>71</v>
      </c>
      <c r="E160" s="6">
        <v>12198998440</v>
      </c>
      <c r="F160" s="3" t="s">
        <v>72</v>
      </c>
      <c r="G160" s="64">
        <v>9</v>
      </c>
      <c r="H160" s="18" t="s">
        <v>318</v>
      </c>
      <c r="I160" s="43" t="s">
        <v>84</v>
      </c>
      <c r="J160" s="63" t="s">
        <v>75</v>
      </c>
      <c r="K160" s="58" t="s">
        <v>112</v>
      </c>
      <c r="L160" s="75">
        <v>43</v>
      </c>
      <c r="M160" s="81">
        <v>29</v>
      </c>
      <c r="N160" s="84">
        <f>(Tabela1[[#This Row],[SIMULADO 2 NOTA]]-Tabela1[[#This Row],[SIMULADO 1 - NOTA]])</f>
        <v>-14</v>
      </c>
      <c r="O160" s="54"/>
      <c r="P160" s="54"/>
      <c r="Q160" s="54"/>
      <c r="R160" s="54"/>
      <c r="S160" s="54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34"/>
      <c r="BP160" s="22"/>
    </row>
    <row r="161" spans="1:68" s="3" customFormat="1" ht="25.5" customHeight="1">
      <c r="A161" s="22" t="s">
        <v>69</v>
      </c>
      <c r="B161" s="3">
        <v>31551785</v>
      </c>
      <c r="C161" s="3" t="s">
        <v>70</v>
      </c>
      <c r="D161" s="3" t="s">
        <v>71</v>
      </c>
      <c r="E161" s="6">
        <v>4503620436</v>
      </c>
      <c r="F161" s="3" t="s">
        <v>72</v>
      </c>
      <c r="G161" s="64">
        <v>11</v>
      </c>
      <c r="H161" s="3" t="s">
        <v>319</v>
      </c>
      <c r="I161" s="41"/>
      <c r="J161" s="63" t="s">
        <v>77</v>
      </c>
      <c r="K161" s="58" t="s">
        <v>320</v>
      </c>
      <c r="L161" s="75">
        <v>64</v>
      </c>
      <c r="M161" s="82">
        <v>59</v>
      </c>
      <c r="N161" s="84">
        <f>(Tabela1[[#This Row],[SIMULADO 2 NOTA]]-Tabela1[[#This Row],[SIMULADO 1 - NOTA]])</f>
        <v>-5</v>
      </c>
      <c r="O161" s="78"/>
      <c r="P161" s="78"/>
      <c r="Q161" s="78"/>
      <c r="R161" s="78"/>
      <c r="S161" s="78"/>
      <c r="T161" s="68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34"/>
      <c r="BP161" s="22"/>
    </row>
    <row r="162" spans="1:68" s="3" customFormat="1" ht="25.5" hidden="1" customHeight="1">
      <c r="A162" s="22" t="s">
        <v>69</v>
      </c>
      <c r="B162" s="3">
        <v>32810598</v>
      </c>
      <c r="C162" s="3" t="s">
        <v>70</v>
      </c>
      <c r="D162" s="3" t="s">
        <v>71</v>
      </c>
      <c r="E162" s="6">
        <v>12889867420</v>
      </c>
      <c r="F162" s="3" t="s">
        <v>91</v>
      </c>
      <c r="G162" s="64">
        <v>7</v>
      </c>
      <c r="H162" s="3" t="s">
        <v>321</v>
      </c>
      <c r="I162" s="41"/>
      <c r="J162" s="63" t="s">
        <v>77</v>
      </c>
      <c r="K162" s="57"/>
      <c r="L162" s="76">
        <v>0</v>
      </c>
      <c r="M162" s="81">
        <v>0</v>
      </c>
      <c r="N162" s="81">
        <f>(Tabela1[[#This Row],[SIMULADO 2 NOTA]]-Tabela1[[#This Row],[SIMULADO 1 - NOTA]])</f>
        <v>0</v>
      </c>
      <c r="O162" s="70"/>
      <c r="P162" s="70"/>
      <c r="Q162" s="70"/>
      <c r="R162" s="70"/>
      <c r="S162" s="70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34"/>
      <c r="BP162" s="22"/>
    </row>
    <row r="163" spans="1:68" s="3" customFormat="1" ht="25.5" hidden="1" customHeight="1">
      <c r="A163" s="22" t="s">
        <v>69</v>
      </c>
      <c r="B163" s="3">
        <v>10730265</v>
      </c>
      <c r="C163" s="3" t="s">
        <v>70</v>
      </c>
      <c r="D163" s="3" t="s">
        <v>71</v>
      </c>
      <c r="E163" s="6">
        <v>8566829425</v>
      </c>
      <c r="F163" s="3" t="s">
        <v>82</v>
      </c>
      <c r="G163" s="64">
        <v>9</v>
      </c>
      <c r="H163" s="3" t="s">
        <v>322</v>
      </c>
      <c r="I163" s="41"/>
      <c r="J163" s="63" t="s">
        <v>75</v>
      </c>
      <c r="K163" s="58" t="s">
        <v>312</v>
      </c>
      <c r="L163" s="76">
        <v>0</v>
      </c>
      <c r="M163" s="81">
        <v>0</v>
      </c>
      <c r="N163" s="81">
        <f>(Tabela1[[#This Row],[SIMULADO 2 NOTA]]-Tabela1[[#This Row],[SIMULADO 1 - NOTA]])</f>
        <v>0</v>
      </c>
      <c r="O163" s="53"/>
      <c r="P163" s="53"/>
      <c r="Q163" s="53"/>
      <c r="R163" s="53"/>
      <c r="S163" s="53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34"/>
      <c r="BP163" s="22"/>
    </row>
    <row r="164" spans="1:68" s="3" customFormat="1" ht="25.5" hidden="1" customHeight="1">
      <c r="A164" s="22" t="s">
        <v>69</v>
      </c>
      <c r="B164" s="3">
        <v>29377412</v>
      </c>
      <c r="C164" s="3" t="s">
        <v>70</v>
      </c>
      <c r="D164" s="3" t="s">
        <v>71</v>
      </c>
      <c r="E164" s="6">
        <v>8829722430</v>
      </c>
      <c r="F164" s="3" t="s">
        <v>91</v>
      </c>
      <c r="G164" s="64">
        <v>9</v>
      </c>
      <c r="H164" s="18" t="s">
        <v>323</v>
      </c>
      <c r="I164" s="43" t="s">
        <v>84</v>
      </c>
      <c r="J164" s="63" t="s">
        <v>75</v>
      </c>
      <c r="K164" s="58" t="s">
        <v>324</v>
      </c>
      <c r="L164" s="75">
        <v>39</v>
      </c>
      <c r="M164" s="81">
        <v>0</v>
      </c>
      <c r="N164" s="84">
        <f>(Tabela1[[#This Row],[SIMULADO 2 NOTA]]-Tabela1[[#This Row],[SIMULADO 1 - NOTA]])</f>
        <v>-39</v>
      </c>
      <c r="O164" s="52"/>
      <c r="P164" s="52"/>
      <c r="Q164" s="52"/>
      <c r="R164" s="52"/>
      <c r="S164" s="52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34"/>
      <c r="BP164" s="22"/>
    </row>
    <row r="165" spans="1:68" s="3" customFormat="1" ht="25.5" hidden="1" customHeight="1">
      <c r="A165" s="22" t="s">
        <v>69</v>
      </c>
      <c r="B165" s="5">
        <v>34074759</v>
      </c>
      <c r="C165" s="3" t="s">
        <v>70</v>
      </c>
      <c r="D165" s="3" t="s">
        <v>71</v>
      </c>
      <c r="E165" s="6">
        <v>7232345402</v>
      </c>
      <c r="F165" s="3" t="s">
        <v>78</v>
      </c>
      <c r="G165" s="64">
        <v>7</v>
      </c>
      <c r="H165" s="8" t="s">
        <v>325</v>
      </c>
      <c r="I165" s="42" t="s">
        <v>80</v>
      </c>
      <c r="J165" s="63" t="s">
        <v>77</v>
      </c>
      <c r="K165" s="58" t="s">
        <v>326</v>
      </c>
      <c r="L165" s="76">
        <v>0</v>
      </c>
      <c r="M165" s="81">
        <v>0</v>
      </c>
      <c r="N165" s="81">
        <f>(Tabela1[[#This Row],[SIMULADO 2 NOTA]]-Tabela1[[#This Row],[SIMULADO 1 - NOTA]])</f>
        <v>0</v>
      </c>
      <c r="O165" s="53"/>
      <c r="P165" s="53"/>
      <c r="Q165" s="53"/>
      <c r="R165" s="53"/>
      <c r="S165" s="53"/>
      <c r="T165" s="7"/>
      <c r="U165" s="7"/>
      <c r="V165" s="7"/>
      <c r="W165" s="7"/>
      <c r="X165" s="7">
        <v>4.7</v>
      </c>
      <c r="Y165" s="7"/>
      <c r="Z165" s="7"/>
      <c r="AA165" s="7">
        <v>4.3</v>
      </c>
      <c r="AB165" s="7"/>
      <c r="AC165" s="7"/>
      <c r="AD165" s="9">
        <v>0</v>
      </c>
      <c r="AE165" s="7">
        <v>3</v>
      </c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34"/>
      <c r="BP165" s="22"/>
    </row>
    <row r="166" spans="1:68" s="3" customFormat="1" ht="25.5" customHeight="1">
      <c r="A166" s="22" t="s">
        <v>69</v>
      </c>
      <c r="B166" s="3">
        <v>34650296</v>
      </c>
      <c r="C166" s="3" t="s">
        <v>70</v>
      </c>
      <c r="D166" s="3" t="s">
        <v>71</v>
      </c>
      <c r="E166" s="6">
        <v>8156014413</v>
      </c>
      <c r="F166" s="3" t="s">
        <v>72</v>
      </c>
      <c r="G166" s="64">
        <v>7</v>
      </c>
      <c r="H166" s="3" t="s">
        <v>327</v>
      </c>
      <c r="I166" s="41"/>
      <c r="J166" s="63" t="s">
        <v>77</v>
      </c>
      <c r="K166" s="57"/>
      <c r="L166" s="76">
        <v>0</v>
      </c>
      <c r="M166" s="81">
        <v>56</v>
      </c>
      <c r="N166" s="79">
        <f>(Tabela1[[#This Row],[SIMULADO 2 NOTA]]-Tabela1[[#This Row],[SIMULADO 1 - NOTA]])</f>
        <v>56</v>
      </c>
      <c r="O166" s="53"/>
      <c r="P166" s="53"/>
      <c r="Q166" s="53"/>
      <c r="R166" s="53"/>
      <c r="S166" s="53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34"/>
      <c r="BP166" s="22"/>
    </row>
    <row r="167" spans="1:68" s="3" customFormat="1" ht="25.5" customHeight="1">
      <c r="A167" s="22" t="s">
        <v>69</v>
      </c>
      <c r="B167" s="3">
        <v>33263566</v>
      </c>
      <c r="C167" s="3" t="s">
        <v>70</v>
      </c>
      <c r="D167" s="3" t="s">
        <v>71</v>
      </c>
      <c r="E167" s="6">
        <v>62238802355</v>
      </c>
      <c r="F167" s="3" t="s">
        <v>91</v>
      </c>
      <c r="G167" s="64">
        <v>7</v>
      </c>
      <c r="H167" s="8" t="s">
        <v>328</v>
      </c>
      <c r="I167" s="42" t="s">
        <v>80</v>
      </c>
      <c r="J167" s="63" t="s">
        <v>77</v>
      </c>
      <c r="K167" s="58" t="s">
        <v>329</v>
      </c>
      <c r="L167" s="76">
        <v>0</v>
      </c>
      <c r="M167" s="81">
        <v>33</v>
      </c>
      <c r="N167" s="79">
        <f>(Tabela1[[#This Row],[SIMULADO 2 NOTA]]-Tabela1[[#This Row],[SIMULADO 1 - NOTA]])</f>
        <v>33</v>
      </c>
      <c r="O167" s="53"/>
      <c r="P167" s="53"/>
      <c r="Q167" s="53"/>
      <c r="R167" s="53"/>
      <c r="S167" s="53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 t="s">
        <v>87</v>
      </c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34"/>
      <c r="BP167" s="22"/>
    </row>
    <row r="168" spans="1:68" s="3" customFormat="1" ht="25.5" customHeight="1">
      <c r="A168" s="22" t="s">
        <v>69</v>
      </c>
      <c r="B168" s="3">
        <v>25566415</v>
      </c>
      <c r="C168" s="3" t="s">
        <v>70</v>
      </c>
      <c r="D168" s="3" t="s">
        <v>71</v>
      </c>
      <c r="E168" s="6">
        <v>5942423474</v>
      </c>
      <c r="F168" s="3" t="s">
        <v>72</v>
      </c>
      <c r="G168" s="64">
        <v>11</v>
      </c>
      <c r="H168" s="18" t="s">
        <v>330</v>
      </c>
      <c r="I168" s="43" t="s">
        <v>84</v>
      </c>
      <c r="J168" s="63" t="s">
        <v>75</v>
      </c>
      <c r="K168" s="58" t="s">
        <v>331</v>
      </c>
      <c r="L168" s="75">
        <v>47</v>
      </c>
      <c r="M168" s="82">
        <v>37</v>
      </c>
      <c r="N168" s="84">
        <f>(Tabela1[[#This Row],[SIMULADO 2 NOTA]]-Tabela1[[#This Row],[SIMULADO 1 - NOTA]])</f>
        <v>-10</v>
      </c>
      <c r="O168" s="54"/>
      <c r="P168" s="54"/>
      <c r="Q168" s="54"/>
      <c r="R168" s="54"/>
      <c r="S168" s="54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34"/>
      <c r="BP168" s="22"/>
    </row>
    <row r="169" spans="1:68" s="3" customFormat="1" ht="25.5" customHeight="1">
      <c r="A169" s="22" t="s">
        <v>69</v>
      </c>
      <c r="B169" s="3">
        <v>26442388</v>
      </c>
      <c r="C169" s="3" t="s">
        <v>70</v>
      </c>
      <c r="D169" s="3" t="s">
        <v>71</v>
      </c>
      <c r="E169" s="6">
        <v>5252192421</v>
      </c>
      <c r="F169" s="3" t="s">
        <v>82</v>
      </c>
      <c r="G169" s="64">
        <v>11</v>
      </c>
      <c r="H169" s="15" t="s">
        <v>332</v>
      </c>
      <c r="I169" s="40" t="s">
        <v>74</v>
      </c>
      <c r="J169" s="63" t="s">
        <v>77</v>
      </c>
      <c r="K169" s="58" t="s">
        <v>107</v>
      </c>
      <c r="L169" s="75">
        <v>58</v>
      </c>
      <c r="M169" s="82">
        <v>46</v>
      </c>
      <c r="N169" s="84">
        <f>(Tabela1[[#This Row],[SIMULADO 2 NOTA]]-Tabela1[[#This Row],[SIMULADO 1 - NOTA]])</f>
        <v>-12</v>
      </c>
      <c r="O169" s="78"/>
      <c r="P169" s="78"/>
      <c r="Q169" s="78"/>
      <c r="R169" s="78"/>
      <c r="S169" s="78"/>
      <c r="T169" s="68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34"/>
      <c r="BP169" s="22"/>
    </row>
    <row r="170" spans="1:68" s="3" customFormat="1" ht="25.5" customHeight="1">
      <c r="A170" s="22" t="s">
        <v>69</v>
      </c>
      <c r="B170" s="3">
        <v>25490109</v>
      </c>
      <c r="C170" s="3" t="s">
        <v>70</v>
      </c>
      <c r="D170" s="3" t="s">
        <v>71</v>
      </c>
      <c r="E170" s="6">
        <v>5161426403</v>
      </c>
      <c r="F170" s="3" t="s">
        <v>72</v>
      </c>
      <c r="G170" s="64">
        <v>11</v>
      </c>
      <c r="H170" s="3" t="s">
        <v>333</v>
      </c>
      <c r="I170" s="41"/>
      <c r="J170" s="63" t="s">
        <v>77</v>
      </c>
      <c r="K170" s="58" t="s">
        <v>237</v>
      </c>
      <c r="L170" s="75">
        <v>67</v>
      </c>
      <c r="M170" s="82">
        <v>63</v>
      </c>
      <c r="N170" s="84">
        <f>(Tabela1[[#This Row],[SIMULADO 2 NOTA]]-Tabela1[[#This Row],[SIMULADO 1 - NOTA]])</f>
        <v>-4</v>
      </c>
      <c r="O170" s="78"/>
      <c r="P170" s="78"/>
      <c r="Q170" s="78"/>
      <c r="R170" s="78"/>
      <c r="S170" s="78"/>
      <c r="T170" s="68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34"/>
      <c r="BP170" s="22"/>
    </row>
    <row r="171" spans="1:68" s="3" customFormat="1" ht="25.5" customHeight="1">
      <c r="A171" s="22" t="s">
        <v>69</v>
      </c>
      <c r="B171" s="3">
        <v>29008158</v>
      </c>
      <c r="C171" s="3" t="s">
        <v>70</v>
      </c>
      <c r="D171" s="3" t="s">
        <v>71</v>
      </c>
      <c r="E171" s="6">
        <v>9033836408</v>
      </c>
      <c r="F171" s="3" t="s">
        <v>72</v>
      </c>
      <c r="G171" s="64">
        <v>9</v>
      </c>
      <c r="H171" s="3" t="s">
        <v>334</v>
      </c>
      <c r="I171" s="41"/>
      <c r="J171" s="63" t="s">
        <v>75</v>
      </c>
      <c r="K171" s="58" t="s">
        <v>335</v>
      </c>
      <c r="L171" s="75">
        <v>70</v>
      </c>
      <c r="M171" s="81">
        <v>60</v>
      </c>
      <c r="N171" s="84">
        <f>(Tabela1[[#This Row],[SIMULADO 2 NOTA]]-Tabela1[[#This Row],[SIMULADO 1 - NOTA]])</f>
        <v>-10</v>
      </c>
      <c r="O171" s="71"/>
      <c r="P171" s="71"/>
      <c r="Q171" s="71"/>
      <c r="R171" s="71"/>
      <c r="S171" s="71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34"/>
      <c r="BP171" s="22"/>
    </row>
    <row r="172" spans="1:68" s="3" customFormat="1" ht="25.5" customHeight="1">
      <c r="A172" s="22" t="s">
        <v>69</v>
      </c>
      <c r="B172" s="3">
        <v>25578456</v>
      </c>
      <c r="C172" s="3" t="s">
        <v>70</v>
      </c>
      <c r="D172" s="3" t="s">
        <v>71</v>
      </c>
      <c r="E172" s="6">
        <v>4590042398</v>
      </c>
      <c r="F172" s="3" t="s">
        <v>72</v>
      </c>
      <c r="G172" s="64">
        <v>11</v>
      </c>
      <c r="H172" s="15" t="s">
        <v>336</v>
      </c>
      <c r="I172" s="40" t="s">
        <v>74</v>
      </c>
      <c r="J172" s="63" t="s">
        <v>77</v>
      </c>
      <c r="K172" s="58" t="s">
        <v>337</v>
      </c>
      <c r="L172" s="75">
        <v>57</v>
      </c>
      <c r="M172" s="82">
        <v>52</v>
      </c>
      <c r="N172" s="84">
        <f>(Tabela1[[#This Row],[SIMULADO 2 NOTA]]-Tabela1[[#This Row],[SIMULADO 1 - NOTA]])</f>
        <v>-5</v>
      </c>
      <c r="O172" s="78"/>
      <c r="P172" s="78"/>
      <c r="Q172" s="78"/>
      <c r="R172" s="78"/>
      <c r="S172" s="78"/>
      <c r="T172" s="68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34"/>
      <c r="BP172" s="22"/>
    </row>
    <row r="173" spans="1:68" s="3" customFormat="1" ht="25.5" customHeight="1">
      <c r="A173" s="22" t="s">
        <v>69</v>
      </c>
      <c r="B173" s="3">
        <v>35392061</v>
      </c>
      <c r="C173" s="3" t="s">
        <v>70</v>
      </c>
      <c r="D173" s="3" t="s">
        <v>71</v>
      </c>
      <c r="E173" s="6">
        <v>4104201405</v>
      </c>
      <c r="F173" s="3" t="s">
        <v>91</v>
      </c>
      <c r="G173" s="64">
        <v>9</v>
      </c>
      <c r="H173" s="15" t="s">
        <v>338</v>
      </c>
      <c r="I173" s="40" t="s">
        <v>74</v>
      </c>
      <c r="J173" s="63" t="s">
        <v>75</v>
      </c>
      <c r="K173" s="58" t="s">
        <v>205</v>
      </c>
      <c r="L173" s="75">
        <v>59</v>
      </c>
      <c r="M173" s="81">
        <v>44</v>
      </c>
      <c r="N173" s="84">
        <f>(Tabela1[[#This Row],[SIMULADO 2 NOTA]]-Tabela1[[#This Row],[SIMULADO 1 - NOTA]])</f>
        <v>-15</v>
      </c>
      <c r="O173" s="72"/>
      <c r="P173" s="72"/>
      <c r="Q173" s="72"/>
      <c r="R173" s="72"/>
      <c r="S173" s="72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34"/>
      <c r="BP173" s="22"/>
    </row>
    <row r="174" spans="1:68" s="3" customFormat="1" ht="25.5" hidden="1" customHeight="1">
      <c r="A174" s="22" t="s">
        <v>69</v>
      </c>
      <c r="B174" s="3">
        <v>32690169</v>
      </c>
      <c r="C174" s="3" t="s">
        <v>70</v>
      </c>
      <c r="D174" s="3" t="s">
        <v>71</v>
      </c>
      <c r="E174" s="6">
        <v>5280609455</v>
      </c>
      <c r="F174" s="3" t="s">
        <v>91</v>
      </c>
      <c r="G174" s="64">
        <v>7</v>
      </c>
      <c r="H174" s="3" t="s">
        <v>339</v>
      </c>
      <c r="I174" s="41"/>
      <c r="J174" s="63" t="s">
        <v>77</v>
      </c>
      <c r="K174" s="57"/>
      <c r="L174" s="76">
        <v>0</v>
      </c>
      <c r="M174" s="81">
        <v>0</v>
      </c>
      <c r="N174" s="81">
        <f>(Tabela1[[#This Row],[SIMULADO 2 NOTA]]-Tabela1[[#This Row],[SIMULADO 1 - NOTA]])</f>
        <v>0</v>
      </c>
      <c r="O174" s="53"/>
      <c r="P174" s="53"/>
      <c r="Q174" s="53"/>
      <c r="R174" s="53"/>
      <c r="S174" s="53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34"/>
      <c r="BP174" s="22"/>
    </row>
    <row r="175" spans="1:68" s="3" customFormat="1" ht="25.5" customHeight="1">
      <c r="A175" s="22" t="s">
        <v>69</v>
      </c>
      <c r="B175" s="3">
        <v>30381304</v>
      </c>
      <c r="C175" s="3" t="s">
        <v>70</v>
      </c>
      <c r="D175" s="3" t="s">
        <v>71</v>
      </c>
      <c r="E175" s="6">
        <v>2529936404</v>
      </c>
      <c r="F175" s="3" t="s">
        <v>82</v>
      </c>
      <c r="G175" s="64">
        <v>9</v>
      </c>
      <c r="H175" s="18" t="s">
        <v>340</v>
      </c>
      <c r="I175" s="43" t="s">
        <v>84</v>
      </c>
      <c r="J175" s="63" t="s">
        <v>75</v>
      </c>
      <c r="K175" s="58" t="s">
        <v>341</v>
      </c>
      <c r="L175" s="75">
        <v>40</v>
      </c>
      <c r="M175" s="81">
        <v>29</v>
      </c>
      <c r="N175" s="84">
        <f>(Tabela1[[#This Row],[SIMULADO 2 NOTA]]-Tabela1[[#This Row],[SIMULADO 1 - NOTA]])</f>
        <v>-11</v>
      </c>
      <c r="O175" s="52"/>
      <c r="P175" s="52"/>
      <c r="Q175" s="52"/>
      <c r="R175" s="52"/>
      <c r="S175" s="52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34"/>
      <c r="BP175" s="22"/>
    </row>
    <row r="176" spans="1:68" s="3" customFormat="1" ht="25.5" customHeight="1">
      <c r="A176" s="22" t="s">
        <v>69</v>
      </c>
      <c r="B176" s="3">
        <v>31289894</v>
      </c>
      <c r="C176" s="3" t="s">
        <v>70</v>
      </c>
      <c r="D176" s="3" t="s">
        <v>71</v>
      </c>
      <c r="E176" s="6">
        <v>70820344400</v>
      </c>
      <c r="F176" s="3" t="s">
        <v>72</v>
      </c>
      <c r="G176" s="64">
        <v>9</v>
      </c>
      <c r="H176" s="15" t="s">
        <v>342</v>
      </c>
      <c r="I176" s="40" t="s">
        <v>74</v>
      </c>
      <c r="J176" s="63" t="s">
        <v>75</v>
      </c>
      <c r="K176" s="58" t="s">
        <v>174</v>
      </c>
      <c r="L176" s="75">
        <v>51</v>
      </c>
      <c r="M176" s="81">
        <v>44</v>
      </c>
      <c r="N176" s="84">
        <f>(Tabela1[[#This Row],[SIMULADO 2 NOTA]]-Tabela1[[#This Row],[SIMULADO 1 - NOTA]])</f>
        <v>-7</v>
      </c>
      <c r="O176" s="52"/>
      <c r="P176" s="52"/>
      <c r="Q176" s="52"/>
      <c r="R176" s="52"/>
      <c r="S176" s="52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34"/>
      <c r="BP176" s="22"/>
    </row>
    <row r="177" spans="1:68" s="3" customFormat="1" ht="25.5" hidden="1" customHeight="1">
      <c r="A177" s="22" t="s">
        <v>69</v>
      </c>
      <c r="B177" s="3">
        <v>29088020</v>
      </c>
      <c r="C177" s="3" t="s">
        <v>70</v>
      </c>
      <c r="D177" s="3" t="s">
        <v>71</v>
      </c>
      <c r="E177" s="6">
        <v>70019402406</v>
      </c>
      <c r="F177" s="3" t="s">
        <v>91</v>
      </c>
      <c r="G177" s="64">
        <v>9</v>
      </c>
      <c r="H177" s="3" t="s">
        <v>343</v>
      </c>
      <c r="I177" s="41"/>
      <c r="J177" s="63" t="s">
        <v>75</v>
      </c>
      <c r="K177" s="58" t="s">
        <v>205</v>
      </c>
      <c r="L177" s="75">
        <v>61</v>
      </c>
      <c r="M177" s="81">
        <v>0</v>
      </c>
      <c r="N177" s="84">
        <f>(Tabela1[[#This Row],[SIMULADO 2 NOTA]]-Tabela1[[#This Row],[SIMULADO 1 - NOTA]])</f>
        <v>-61</v>
      </c>
      <c r="O177" s="54"/>
      <c r="P177" s="54"/>
      <c r="Q177" s="54"/>
      <c r="R177" s="54"/>
      <c r="S177" s="54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34"/>
      <c r="BP177" s="22"/>
    </row>
    <row r="178" spans="1:68" s="3" customFormat="1" ht="25.5" customHeight="1">
      <c r="A178" s="22" t="s">
        <v>69</v>
      </c>
      <c r="B178" s="3">
        <v>25172263</v>
      </c>
      <c r="C178" s="3" t="s">
        <v>70</v>
      </c>
      <c r="D178" s="3" t="s">
        <v>71</v>
      </c>
      <c r="E178" s="6">
        <v>1762264439</v>
      </c>
      <c r="F178" s="3" t="s">
        <v>72</v>
      </c>
      <c r="G178" s="64">
        <v>11</v>
      </c>
      <c r="H178" s="3" t="s">
        <v>344</v>
      </c>
      <c r="I178" s="41"/>
      <c r="J178" s="63" t="s">
        <v>77</v>
      </c>
      <c r="K178" s="58" t="s">
        <v>172</v>
      </c>
      <c r="L178" s="76">
        <v>0</v>
      </c>
      <c r="M178" s="82">
        <v>48</v>
      </c>
      <c r="N178" s="92">
        <f>(Tabela1[[#This Row],[SIMULADO 2 NOTA]]-Tabela1[[#This Row],[SIMULADO 1 - NOTA]])</f>
        <v>48</v>
      </c>
      <c r="O178" s="78"/>
      <c r="P178" s="78"/>
      <c r="Q178" s="78"/>
      <c r="R178" s="78"/>
      <c r="S178" s="78"/>
      <c r="T178" s="68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34"/>
      <c r="BP178" s="22"/>
    </row>
    <row r="179" spans="1:68" s="3" customFormat="1" ht="25.5" hidden="1" customHeight="1">
      <c r="A179" s="22" t="s">
        <v>69</v>
      </c>
      <c r="B179" s="3">
        <v>34079149</v>
      </c>
      <c r="C179" s="3" t="s">
        <v>70</v>
      </c>
      <c r="D179" s="3" t="s">
        <v>71</v>
      </c>
      <c r="E179" s="6">
        <v>9461938438</v>
      </c>
      <c r="F179" s="3" t="s">
        <v>91</v>
      </c>
      <c r="G179" s="64">
        <v>7</v>
      </c>
      <c r="H179" s="8" t="s">
        <v>345</v>
      </c>
      <c r="I179" s="42" t="s">
        <v>80</v>
      </c>
      <c r="J179" s="63" t="s">
        <v>77</v>
      </c>
      <c r="K179" s="58" t="s">
        <v>346</v>
      </c>
      <c r="L179" s="76">
        <v>0</v>
      </c>
      <c r="M179" s="81">
        <v>0</v>
      </c>
      <c r="N179" s="81">
        <f>(Tabela1[[#This Row],[SIMULADO 2 NOTA]]-Tabela1[[#This Row],[SIMULADO 1 - NOTA]])</f>
        <v>0</v>
      </c>
      <c r="O179" s="70"/>
      <c r="P179" s="70"/>
      <c r="Q179" s="70"/>
      <c r="R179" s="70"/>
      <c r="S179" s="70"/>
      <c r="T179" s="7"/>
      <c r="U179" s="7"/>
      <c r="V179" s="7"/>
      <c r="W179" s="7"/>
      <c r="X179" s="7">
        <v>4.7</v>
      </c>
      <c r="Y179" s="7"/>
      <c r="Z179" s="7"/>
      <c r="AA179" s="7"/>
      <c r="AB179" s="7">
        <v>4.5</v>
      </c>
      <c r="AC179" s="7"/>
      <c r="AD179" s="7"/>
      <c r="AE179" s="7"/>
      <c r="AF179" s="7"/>
      <c r="AG179" s="7"/>
      <c r="AH179" s="7"/>
      <c r="AI179" s="7">
        <v>6.2</v>
      </c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34"/>
      <c r="BP179" s="22"/>
    </row>
    <row r="180" spans="1:68" s="3" customFormat="1" ht="25.5" customHeight="1">
      <c r="A180" s="22" t="s">
        <v>69</v>
      </c>
      <c r="B180" s="3">
        <v>30598087</v>
      </c>
      <c r="C180" s="3" t="s">
        <v>70</v>
      </c>
      <c r="D180" s="3" t="s">
        <v>71</v>
      </c>
      <c r="E180" s="6">
        <v>6146604402</v>
      </c>
      <c r="F180" s="3" t="s">
        <v>91</v>
      </c>
      <c r="G180" s="64">
        <v>9</v>
      </c>
      <c r="H180" s="3" t="s">
        <v>347</v>
      </c>
      <c r="I180" s="41"/>
      <c r="J180" s="63" t="s">
        <v>75</v>
      </c>
      <c r="K180" s="58" t="s">
        <v>348</v>
      </c>
      <c r="L180" s="75">
        <v>76</v>
      </c>
      <c r="M180" s="81">
        <v>64</v>
      </c>
      <c r="N180" s="84">
        <f>(Tabela1[[#This Row],[SIMULADO 2 NOTA]]-Tabela1[[#This Row],[SIMULADO 1 - NOTA]])</f>
        <v>-12</v>
      </c>
      <c r="O180" s="52"/>
      <c r="P180" s="52"/>
      <c r="Q180" s="52"/>
      <c r="R180" s="52"/>
      <c r="S180" s="52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34"/>
      <c r="BP180" s="22"/>
    </row>
    <row r="181" spans="1:68" s="3" customFormat="1" ht="25.5" customHeight="1">
      <c r="A181" s="22" t="s">
        <v>69</v>
      </c>
      <c r="B181" s="3">
        <v>29811589</v>
      </c>
      <c r="C181" s="3" t="s">
        <v>70</v>
      </c>
      <c r="D181" s="3" t="s">
        <v>71</v>
      </c>
      <c r="E181" s="6">
        <v>70589782479</v>
      </c>
      <c r="F181" s="3" t="s">
        <v>78</v>
      </c>
      <c r="G181" s="64">
        <v>9</v>
      </c>
      <c r="H181" s="3" t="s">
        <v>349</v>
      </c>
      <c r="I181" s="41"/>
      <c r="J181" s="63" t="s">
        <v>75</v>
      </c>
      <c r="K181" s="58" t="s">
        <v>235</v>
      </c>
      <c r="L181" s="75">
        <v>64</v>
      </c>
      <c r="M181" s="81">
        <v>54</v>
      </c>
      <c r="N181" s="84">
        <f>(Tabela1[[#This Row],[SIMULADO 2 NOTA]]-Tabela1[[#This Row],[SIMULADO 1 - NOTA]])</f>
        <v>-10</v>
      </c>
      <c r="O181" s="52"/>
      <c r="P181" s="52"/>
      <c r="Q181" s="52"/>
      <c r="R181" s="52"/>
      <c r="S181" s="5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34"/>
      <c r="BP181" s="22"/>
    </row>
    <row r="182" spans="1:68" s="3" customFormat="1" ht="25.5" hidden="1" customHeight="1">
      <c r="A182" s="22" t="s">
        <v>69</v>
      </c>
      <c r="B182" s="5">
        <v>32812191</v>
      </c>
      <c r="C182" s="3" t="s">
        <v>70</v>
      </c>
      <c r="D182" s="3" t="s">
        <v>71</v>
      </c>
      <c r="E182" s="6">
        <v>5092864451</v>
      </c>
      <c r="F182" s="3" t="s">
        <v>78</v>
      </c>
      <c r="G182" s="64">
        <v>7</v>
      </c>
      <c r="H182" s="3" t="s">
        <v>350</v>
      </c>
      <c r="I182" s="41"/>
      <c r="J182" s="63" t="s">
        <v>77</v>
      </c>
      <c r="K182" s="57"/>
      <c r="L182" s="76">
        <v>0</v>
      </c>
      <c r="M182" s="81">
        <v>0</v>
      </c>
      <c r="N182" s="81">
        <f>(Tabela1[[#This Row],[SIMULADO 2 NOTA]]-Tabela1[[#This Row],[SIMULADO 1 - NOTA]])</f>
        <v>0</v>
      </c>
      <c r="O182" s="53"/>
      <c r="P182" s="53"/>
      <c r="Q182" s="53"/>
      <c r="R182" s="53"/>
      <c r="S182" s="53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34"/>
      <c r="BP182" s="22"/>
    </row>
    <row r="183" spans="1:68" s="3" customFormat="1" ht="25.5" hidden="1" customHeight="1">
      <c r="A183" s="22" t="s">
        <v>69</v>
      </c>
      <c r="B183" s="3">
        <v>32734581</v>
      </c>
      <c r="C183" s="3" t="s">
        <v>70</v>
      </c>
      <c r="D183" s="3" t="s">
        <v>71</v>
      </c>
      <c r="E183" s="6">
        <v>1702407462</v>
      </c>
      <c r="F183" s="3" t="s">
        <v>91</v>
      </c>
      <c r="G183" s="64">
        <v>7</v>
      </c>
      <c r="H183" s="3" t="s">
        <v>351</v>
      </c>
      <c r="I183" s="41"/>
      <c r="J183" s="63" t="s">
        <v>77</v>
      </c>
      <c r="K183" s="57"/>
      <c r="L183" s="76">
        <v>0</v>
      </c>
      <c r="M183" s="81">
        <v>0</v>
      </c>
      <c r="N183" s="81">
        <f>(Tabela1[[#This Row],[SIMULADO 2 NOTA]]-Tabela1[[#This Row],[SIMULADO 1 - NOTA]])</f>
        <v>0</v>
      </c>
      <c r="O183" s="53"/>
      <c r="P183" s="53"/>
      <c r="Q183" s="53"/>
      <c r="R183" s="53"/>
      <c r="S183" s="53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34"/>
      <c r="BP183" s="22"/>
    </row>
    <row r="184" spans="1:68" s="3" customFormat="1" ht="25.5" hidden="1" customHeight="1">
      <c r="A184" s="22" t="s">
        <v>69</v>
      </c>
      <c r="B184" s="3">
        <v>30155614</v>
      </c>
      <c r="C184" s="3" t="s">
        <v>70</v>
      </c>
      <c r="D184" s="3" t="s">
        <v>71</v>
      </c>
      <c r="E184" s="6">
        <v>7372739411</v>
      </c>
      <c r="F184" s="3" t="s">
        <v>82</v>
      </c>
      <c r="G184" s="64">
        <v>9</v>
      </c>
      <c r="H184" s="18" t="s">
        <v>352</v>
      </c>
      <c r="I184" s="43" t="s">
        <v>84</v>
      </c>
      <c r="J184" s="63" t="s">
        <v>75</v>
      </c>
      <c r="K184" s="58" t="s">
        <v>353</v>
      </c>
      <c r="L184" s="75">
        <v>35</v>
      </c>
      <c r="M184" s="81">
        <v>31</v>
      </c>
      <c r="N184" s="84">
        <f>(Tabela1[[#This Row],[SIMULADO 2 NOTA]]-Tabela1[[#This Row],[SIMULADO 1 - NOTA]])</f>
        <v>-4</v>
      </c>
      <c r="O184" s="52"/>
      <c r="P184" s="52"/>
      <c r="Q184" s="52"/>
      <c r="R184" s="52"/>
      <c r="S184" s="52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34"/>
      <c r="BP184" s="22"/>
    </row>
    <row r="185" spans="1:68" s="3" customFormat="1" ht="25.5" hidden="1" customHeight="1">
      <c r="A185" s="22" t="s">
        <v>69</v>
      </c>
      <c r="B185" s="3">
        <v>38135817</v>
      </c>
      <c r="C185" s="3" t="s">
        <v>70</v>
      </c>
      <c r="D185" s="3" t="s">
        <v>71</v>
      </c>
      <c r="E185" s="6">
        <v>5651385100</v>
      </c>
      <c r="F185" s="3" t="s">
        <v>78</v>
      </c>
      <c r="G185" s="64">
        <v>9</v>
      </c>
      <c r="H185" s="15" t="s">
        <v>354</v>
      </c>
      <c r="I185" s="40" t="s">
        <v>74</v>
      </c>
      <c r="J185" s="63" t="s">
        <v>75</v>
      </c>
      <c r="K185" s="58" t="s">
        <v>355</v>
      </c>
      <c r="L185" s="75">
        <v>51</v>
      </c>
      <c r="M185" s="81">
        <v>0</v>
      </c>
      <c r="N185" s="84">
        <f>(Tabela1[[#This Row],[SIMULADO 2 NOTA]]-Tabela1[[#This Row],[SIMULADO 1 - NOTA]])</f>
        <v>-51</v>
      </c>
      <c r="O185" s="52"/>
      <c r="P185" s="52"/>
      <c r="Q185" s="52"/>
      <c r="R185" s="52"/>
      <c r="S185" s="52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34"/>
      <c r="BP185" s="22"/>
    </row>
    <row r="186" spans="1:68" s="3" customFormat="1" ht="25.5" customHeight="1">
      <c r="A186" s="22" t="s">
        <v>69</v>
      </c>
      <c r="B186" s="3">
        <v>29026555</v>
      </c>
      <c r="C186" s="3" t="s">
        <v>70</v>
      </c>
      <c r="D186" s="3" t="s">
        <v>71</v>
      </c>
      <c r="E186" s="6">
        <v>11017699470</v>
      </c>
      <c r="F186" s="3" t="s">
        <v>78</v>
      </c>
      <c r="G186" s="64">
        <v>9</v>
      </c>
      <c r="H186" s="15" t="s">
        <v>356</v>
      </c>
      <c r="I186" s="40" t="s">
        <v>74</v>
      </c>
      <c r="J186" s="63" t="s">
        <v>75</v>
      </c>
      <c r="K186" s="58" t="s">
        <v>235</v>
      </c>
      <c r="L186" s="75">
        <v>59</v>
      </c>
      <c r="M186" s="81">
        <v>65</v>
      </c>
      <c r="N186" s="79">
        <f>(Tabela1[[#This Row],[SIMULADO 2 NOTA]]-Tabela1[[#This Row],[SIMULADO 1 - NOTA]])</f>
        <v>6</v>
      </c>
      <c r="O186" s="54"/>
      <c r="P186" s="54"/>
      <c r="Q186" s="54"/>
      <c r="R186" s="54"/>
      <c r="S186" s="54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34"/>
      <c r="BP186" s="22"/>
    </row>
    <row r="187" spans="1:68" s="3" customFormat="1" ht="25.5" hidden="1" customHeight="1">
      <c r="A187" s="22" t="s">
        <v>69</v>
      </c>
      <c r="B187" s="3">
        <v>26392135</v>
      </c>
      <c r="C187" s="3" t="s">
        <v>70</v>
      </c>
      <c r="D187" s="3" t="s">
        <v>71</v>
      </c>
      <c r="E187" s="6">
        <v>7123812441</v>
      </c>
      <c r="F187" s="3" t="s">
        <v>82</v>
      </c>
      <c r="G187" s="64">
        <v>11</v>
      </c>
      <c r="H187" s="3" t="s">
        <v>357</v>
      </c>
      <c r="I187" s="41"/>
      <c r="J187" s="63" t="s">
        <v>77</v>
      </c>
      <c r="K187" s="58" t="s">
        <v>358</v>
      </c>
      <c r="L187" s="75">
        <v>63</v>
      </c>
      <c r="M187" s="81">
        <v>0</v>
      </c>
      <c r="N187" s="84">
        <f>(Tabela1[[#This Row],[SIMULADO 2 NOTA]]-Tabela1[[#This Row],[SIMULADO 1 - NOTA]])</f>
        <v>-63</v>
      </c>
      <c r="O187" s="78"/>
      <c r="P187" s="78"/>
      <c r="Q187" s="78"/>
      <c r="R187" s="78"/>
      <c r="S187" s="78"/>
      <c r="T187" s="68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34"/>
      <c r="BP187" s="22"/>
    </row>
    <row r="188" spans="1:68" s="3" customFormat="1" ht="25.5" hidden="1" customHeight="1">
      <c r="A188" s="22" t="s">
        <v>69</v>
      </c>
      <c r="B188" s="3">
        <v>35424681</v>
      </c>
      <c r="C188" s="3" t="s">
        <v>70</v>
      </c>
      <c r="D188" s="3" t="s">
        <v>71</v>
      </c>
      <c r="E188" s="6">
        <v>7828788495</v>
      </c>
      <c r="F188" s="3" t="s">
        <v>78</v>
      </c>
      <c r="G188" s="64">
        <v>9</v>
      </c>
      <c r="H188" s="3" t="s">
        <v>359</v>
      </c>
      <c r="I188" s="41"/>
      <c r="J188" s="63" t="s">
        <v>75</v>
      </c>
      <c r="K188" s="58" t="s">
        <v>360</v>
      </c>
      <c r="L188" s="75">
        <v>73</v>
      </c>
      <c r="M188" s="81">
        <v>67</v>
      </c>
      <c r="N188" s="84">
        <f>(Tabela1[[#This Row],[SIMULADO 2 NOTA]]-Tabela1[[#This Row],[SIMULADO 1 - NOTA]])</f>
        <v>-6</v>
      </c>
      <c r="O188" s="72"/>
      <c r="P188" s="72"/>
      <c r="Q188" s="72"/>
      <c r="R188" s="72"/>
      <c r="S188" s="72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34"/>
      <c r="BP188" s="22"/>
    </row>
    <row r="189" spans="1:68" s="3" customFormat="1" ht="25.5" hidden="1" customHeight="1">
      <c r="A189" s="22" t="s">
        <v>69</v>
      </c>
      <c r="B189" s="5">
        <v>39104885</v>
      </c>
      <c r="C189" s="3" t="s">
        <v>70</v>
      </c>
      <c r="D189" s="3" t="s">
        <v>71</v>
      </c>
      <c r="E189" s="6">
        <v>2161212486</v>
      </c>
      <c r="F189" s="3" t="s">
        <v>78</v>
      </c>
      <c r="G189" s="64">
        <v>7</v>
      </c>
      <c r="H189" s="3" t="s">
        <v>361</v>
      </c>
      <c r="I189" s="41"/>
      <c r="J189" s="63" t="s">
        <v>77</v>
      </c>
      <c r="K189" s="57"/>
      <c r="L189" s="76">
        <v>0</v>
      </c>
      <c r="M189" s="81">
        <v>0</v>
      </c>
      <c r="N189" s="81">
        <f>(Tabela1[[#This Row],[SIMULADO 2 NOTA]]-Tabela1[[#This Row],[SIMULADO 1 - NOTA]])</f>
        <v>0</v>
      </c>
      <c r="O189" s="69"/>
      <c r="P189" s="69"/>
      <c r="Q189" s="69"/>
      <c r="R189" s="69"/>
      <c r="S189" s="69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34"/>
      <c r="BP189" s="22"/>
    </row>
    <row r="190" spans="1:68" s="3" customFormat="1" ht="25.5" customHeight="1">
      <c r="A190" s="22" t="s">
        <v>69</v>
      </c>
      <c r="B190" s="3">
        <v>26637618</v>
      </c>
      <c r="C190" s="3" t="s">
        <v>70</v>
      </c>
      <c r="D190" s="3" t="s">
        <v>71</v>
      </c>
      <c r="E190" s="6">
        <v>10623936437</v>
      </c>
      <c r="F190" s="3" t="s">
        <v>82</v>
      </c>
      <c r="G190" s="64">
        <v>11</v>
      </c>
      <c r="H190" s="15" t="s">
        <v>362</v>
      </c>
      <c r="I190" s="40" t="s">
        <v>74</v>
      </c>
      <c r="J190" s="63" t="s">
        <v>77</v>
      </c>
      <c r="K190" s="58" t="s">
        <v>99</v>
      </c>
      <c r="L190" s="75">
        <v>52</v>
      </c>
      <c r="M190" s="82">
        <v>42</v>
      </c>
      <c r="N190" s="84">
        <f>(Tabela1[[#This Row],[SIMULADO 2 NOTA]]-Tabela1[[#This Row],[SIMULADO 1 - NOTA]])</f>
        <v>-10</v>
      </c>
      <c r="O190" s="78"/>
      <c r="P190" s="78"/>
      <c r="Q190" s="78"/>
      <c r="R190" s="78"/>
      <c r="S190" s="78"/>
      <c r="T190" s="68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34"/>
      <c r="BP190" s="22"/>
    </row>
    <row r="191" spans="1:68" s="3" customFormat="1" ht="25.5" customHeight="1">
      <c r="A191" s="22" t="s">
        <v>69</v>
      </c>
      <c r="B191" s="3">
        <v>25491563</v>
      </c>
      <c r="C191" s="3" t="s">
        <v>70</v>
      </c>
      <c r="D191" s="3" t="s">
        <v>71</v>
      </c>
      <c r="E191" s="6">
        <v>10913666408</v>
      </c>
      <c r="F191" s="3" t="s">
        <v>72</v>
      </c>
      <c r="G191" s="64">
        <v>11</v>
      </c>
      <c r="H191" s="3" t="s">
        <v>363</v>
      </c>
      <c r="I191" s="41"/>
      <c r="J191" s="63" t="s">
        <v>77</v>
      </c>
      <c r="K191" s="58" t="s">
        <v>196</v>
      </c>
      <c r="L191" s="75">
        <v>63</v>
      </c>
      <c r="M191" s="82">
        <v>63</v>
      </c>
      <c r="N191" s="81">
        <f>(Tabela1[[#This Row],[SIMULADO 2 NOTA]]-Tabela1[[#This Row],[SIMULADO 1 - NOTA]])</f>
        <v>0</v>
      </c>
      <c r="O191" s="78"/>
      <c r="P191" s="78"/>
      <c r="Q191" s="78"/>
      <c r="R191" s="78"/>
      <c r="S191" s="78"/>
      <c r="T191" s="68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34"/>
      <c r="BP191" s="22"/>
    </row>
    <row r="192" spans="1:68" s="3" customFormat="1" ht="25.5" customHeight="1">
      <c r="A192" s="22" t="s">
        <v>69</v>
      </c>
      <c r="B192" s="3">
        <v>25490087</v>
      </c>
      <c r="C192" s="3" t="s">
        <v>70</v>
      </c>
      <c r="D192" s="3" t="s">
        <v>71</v>
      </c>
      <c r="E192" s="6">
        <v>3617058400</v>
      </c>
      <c r="F192" s="3" t="s">
        <v>72</v>
      </c>
      <c r="G192" s="64">
        <v>11</v>
      </c>
      <c r="H192" s="3" t="s">
        <v>364</v>
      </c>
      <c r="I192" s="41"/>
      <c r="J192" s="63" t="s">
        <v>77</v>
      </c>
      <c r="K192" s="58" t="s">
        <v>355</v>
      </c>
      <c r="L192" s="75">
        <v>68</v>
      </c>
      <c r="M192" s="82">
        <v>55</v>
      </c>
      <c r="N192" s="84">
        <f>(Tabela1[[#This Row],[SIMULADO 2 NOTA]]-Tabela1[[#This Row],[SIMULADO 1 - NOTA]])</f>
        <v>-13</v>
      </c>
      <c r="O192" s="78"/>
      <c r="P192" s="78"/>
      <c r="Q192" s="78"/>
      <c r="R192" s="78"/>
      <c r="S192" s="78"/>
      <c r="T192" s="68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34"/>
      <c r="BP192" s="22"/>
    </row>
    <row r="193" spans="1:68" s="3" customFormat="1" ht="25.5" hidden="1" customHeight="1">
      <c r="A193" s="22" t="s">
        <v>69</v>
      </c>
      <c r="B193" s="5">
        <v>32706821</v>
      </c>
      <c r="C193" s="3" t="s">
        <v>70</v>
      </c>
      <c r="D193" s="3" t="s">
        <v>71</v>
      </c>
      <c r="E193" s="6">
        <v>71574446401</v>
      </c>
      <c r="F193" s="3" t="s">
        <v>78</v>
      </c>
      <c r="G193" s="64">
        <v>7</v>
      </c>
      <c r="H193" s="3" t="s">
        <v>365</v>
      </c>
      <c r="I193" s="41"/>
      <c r="J193" s="63" t="s">
        <v>77</v>
      </c>
      <c r="K193" s="57"/>
      <c r="L193" s="76">
        <v>0</v>
      </c>
      <c r="M193" s="81">
        <v>0</v>
      </c>
      <c r="N193" s="81">
        <f>(Tabela1[[#This Row],[SIMULADO 2 NOTA]]-Tabela1[[#This Row],[SIMULADO 1 - NOTA]])</f>
        <v>0</v>
      </c>
      <c r="O193" s="70"/>
      <c r="P193" s="70"/>
      <c r="Q193" s="70"/>
      <c r="R193" s="70"/>
      <c r="S193" s="70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34"/>
      <c r="BP193" s="22"/>
    </row>
    <row r="194" spans="1:68" s="3" customFormat="1" ht="25.5" customHeight="1">
      <c r="A194" s="22" t="s">
        <v>69</v>
      </c>
      <c r="B194" s="3">
        <v>29015839</v>
      </c>
      <c r="C194" s="3" t="s">
        <v>70</v>
      </c>
      <c r="D194" s="3" t="s">
        <v>71</v>
      </c>
      <c r="E194" s="6">
        <v>9071081486</v>
      </c>
      <c r="F194" s="3" t="s">
        <v>91</v>
      </c>
      <c r="G194" s="64">
        <v>9</v>
      </c>
      <c r="H194" s="15" t="s">
        <v>366</v>
      </c>
      <c r="I194" s="40" t="s">
        <v>74</v>
      </c>
      <c r="J194" s="63" t="s">
        <v>75</v>
      </c>
      <c r="K194" s="58" t="s">
        <v>89</v>
      </c>
      <c r="L194" s="75">
        <v>60</v>
      </c>
      <c r="M194" s="81">
        <v>39</v>
      </c>
      <c r="N194" s="84">
        <f>(Tabela1[[#This Row],[SIMULADO 2 NOTA]]-Tabela1[[#This Row],[SIMULADO 1 - NOTA]])</f>
        <v>-21</v>
      </c>
      <c r="O194" s="52"/>
      <c r="P194" s="52"/>
      <c r="Q194" s="52"/>
      <c r="R194" s="52"/>
      <c r="S194" s="52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34"/>
      <c r="BP194" s="22"/>
    </row>
    <row r="195" spans="1:68" s="3" customFormat="1" ht="25.5" hidden="1" customHeight="1">
      <c r="A195" s="22" t="s">
        <v>69</v>
      </c>
      <c r="B195" s="3">
        <v>29598451</v>
      </c>
      <c r="C195" s="3" t="s">
        <v>70</v>
      </c>
      <c r="D195" s="3" t="s">
        <v>71</v>
      </c>
      <c r="E195" s="6">
        <v>9345650407</v>
      </c>
      <c r="F195" s="3" t="s">
        <v>91</v>
      </c>
      <c r="G195" s="64">
        <v>9</v>
      </c>
      <c r="H195" s="18" t="s">
        <v>367</v>
      </c>
      <c r="I195" s="43" t="s">
        <v>84</v>
      </c>
      <c r="J195" s="63" t="s">
        <v>75</v>
      </c>
      <c r="K195" s="58" t="s">
        <v>368</v>
      </c>
      <c r="L195" s="75">
        <v>47</v>
      </c>
      <c r="M195" s="81">
        <v>0</v>
      </c>
      <c r="N195" s="84">
        <f>(Tabela1[[#This Row],[SIMULADO 2 NOTA]]-Tabela1[[#This Row],[SIMULADO 1 - NOTA]])</f>
        <v>-47</v>
      </c>
      <c r="O195" s="52"/>
      <c r="P195" s="52"/>
      <c r="Q195" s="52"/>
      <c r="R195" s="52"/>
      <c r="S195" s="52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34"/>
      <c r="BP195" s="22"/>
    </row>
    <row r="196" spans="1:68" s="3" customFormat="1" ht="25.5" hidden="1" customHeight="1">
      <c r="A196" s="22" t="s">
        <v>69</v>
      </c>
      <c r="B196" s="3">
        <v>33988587</v>
      </c>
      <c r="C196" s="3" t="s">
        <v>70</v>
      </c>
      <c r="D196" s="3" t="s">
        <v>71</v>
      </c>
      <c r="E196" s="6">
        <v>13743624419</v>
      </c>
      <c r="F196" s="3" t="s">
        <v>72</v>
      </c>
      <c r="G196" s="64">
        <v>7</v>
      </c>
      <c r="H196" s="3" t="s">
        <v>369</v>
      </c>
      <c r="I196" s="41"/>
      <c r="J196" s="63" t="s">
        <v>77</v>
      </c>
      <c r="K196" s="57"/>
      <c r="L196" s="76">
        <v>0</v>
      </c>
      <c r="M196" s="81">
        <v>0</v>
      </c>
      <c r="N196" s="81">
        <f>(Tabela1[[#This Row],[SIMULADO 2 NOTA]]-Tabela1[[#This Row],[SIMULADO 1 - NOTA]])</f>
        <v>0</v>
      </c>
      <c r="O196" s="53"/>
      <c r="P196" s="53"/>
      <c r="Q196" s="53"/>
      <c r="R196" s="53"/>
      <c r="S196" s="53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34"/>
      <c r="BP196" s="22"/>
    </row>
    <row r="197" spans="1:68" s="3" customFormat="1" ht="25.5" customHeight="1">
      <c r="A197" s="22" t="s">
        <v>69</v>
      </c>
      <c r="B197" s="3">
        <v>32727607</v>
      </c>
      <c r="C197" s="3" t="s">
        <v>70</v>
      </c>
      <c r="D197" s="3" t="s">
        <v>71</v>
      </c>
      <c r="E197" s="6">
        <v>70869834460</v>
      </c>
      <c r="F197" s="3" t="s">
        <v>82</v>
      </c>
      <c r="G197" s="64">
        <v>7</v>
      </c>
      <c r="H197" s="3" t="s">
        <v>370</v>
      </c>
      <c r="I197" s="41"/>
      <c r="J197" s="63" t="s">
        <v>77</v>
      </c>
      <c r="K197" s="57"/>
      <c r="L197" s="76">
        <v>0</v>
      </c>
      <c r="M197" s="81">
        <v>50</v>
      </c>
      <c r="N197" s="79">
        <f>(Tabela1[[#This Row],[SIMULADO 2 NOTA]]-Tabela1[[#This Row],[SIMULADO 1 - NOTA]])</f>
        <v>50</v>
      </c>
      <c r="O197" s="53"/>
      <c r="P197" s="53"/>
      <c r="Q197" s="53"/>
      <c r="R197" s="53"/>
      <c r="S197" s="53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34"/>
      <c r="BP197" s="22"/>
    </row>
    <row r="198" spans="1:68" s="3" customFormat="1" ht="25.5" hidden="1" customHeight="1">
      <c r="A198" s="22" t="s">
        <v>69</v>
      </c>
      <c r="B198" s="3">
        <v>29965268</v>
      </c>
      <c r="C198" s="3" t="s">
        <v>70</v>
      </c>
      <c r="D198" s="3" t="s">
        <v>71</v>
      </c>
      <c r="E198" s="6">
        <v>8414525474</v>
      </c>
      <c r="F198" s="3" t="s">
        <v>82</v>
      </c>
      <c r="G198" s="64">
        <v>9</v>
      </c>
      <c r="H198" s="3" t="s">
        <v>371</v>
      </c>
      <c r="I198" s="41"/>
      <c r="J198" s="63" t="s">
        <v>75</v>
      </c>
      <c r="K198" s="58" t="s">
        <v>372</v>
      </c>
      <c r="L198" s="76">
        <v>0</v>
      </c>
      <c r="M198" s="81">
        <v>0</v>
      </c>
      <c r="N198" s="81">
        <f>(Tabela1[[#This Row],[SIMULADO 2 NOTA]]-Tabela1[[#This Row],[SIMULADO 1 - NOTA]])</f>
        <v>0</v>
      </c>
      <c r="O198" s="53"/>
      <c r="P198" s="53"/>
      <c r="Q198" s="53"/>
      <c r="R198" s="53"/>
      <c r="S198" s="53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34"/>
      <c r="BP198" s="22"/>
    </row>
    <row r="199" spans="1:68" s="3" customFormat="1" ht="25.5" customHeight="1">
      <c r="A199" s="22" t="s">
        <v>69</v>
      </c>
      <c r="B199" s="3">
        <v>32866500</v>
      </c>
      <c r="C199" s="3" t="s">
        <v>70</v>
      </c>
      <c r="D199" s="3" t="s">
        <v>71</v>
      </c>
      <c r="E199" s="6">
        <v>13536790470</v>
      </c>
      <c r="F199" s="3" t="s">
        <v>82</v>
      </c>
      <c r="G199" s="64">
        <v>7</v>
      </c>
      <c r="H199" s="3" t="s">
        <v>373</v>
      </c>
      <c r="I199" s="41"/>
      <c r="J199" s="63" t="s">
        <v>77</v>
      </c>
      <c r="K199" s="57"/>
      <c r="L199" s="76">
        <v>0</v>
      </c>
      <c r="M199" s="81">
        <v>41</v>
      </c>
      <c r="N199" s="79">
        <f>(Tabela1[[#This Row],[SIMULADO 2 NOTA]]-Tabela1[[#This Row],[SIMULADO 1 - NOTA]])</f>
        <v>41</v>
      </c>
      <c r="O199" s="53"/>
      <c r="P199" s="53"/>
      <c r="Q199" s="53"/>
      <c r="R199" s="53"/>
      <c r="S199" s="53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34"/>
      <c r="BP199" s="22"/>
    </row>
    <row r="200" spans="1:68" s="3" customFormat="1" ht="25.5" customHeight="1">
      <c r="A200" s="22" t="s">
        <v>69</v>
      </c>
      <c r="B200" s="5">
        <v>33479712</v>
      </c>
      <c r="C200" s="3" t="s">
        <v>70</v>
      </c>
      <c r="D200" s="3" t="s">
        <v>71</v>
      </c>
      <c r="E200" s="6">
        <v>15484910471</v>
      </c>
      <c r="F200" s="3" t="s">
        <v>78</v>
      </c>
      <c r="G200" s="64">
        <v>7</v>
      </c>
      <c r="H200" s="3" t="s">
        <v>374</v>
      </c>
      <c r="I200" s="41"/>
      <c r="J200" s="63" t="s">
        <v>77</v>
      </c>
      <c r="K200" s="57"/>
      <c r="L200" s="76">
        <v>0</v>
      </c>
      <c r="M200" s="81">
        <v>30</v>
      </c>
      <c r="N200" s="79">
        <f>(Tabela1[[#This Row],[SIMULADO 2 NOTA]]-Tabela1[[#This Row],[SIMULADO 1 - NOTA]])</f>
        <v>30</v>
      </c>
      <c r="O200" s="53"/>
      <c r="P200" s="53"/>
      <c r="Q200" s="53"/>
      <c r="R200" s="53"/>
      <c r="S200" s="53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34"/>
      <c r="BP200" s="22"/>
    </row>
    <row r="201" spans="1:68" s="3" customFormat="1" ht="25.5" customHeight="1">
      <c r="A201" s="22" t="s">
        <v>69</v>
      </c>
      <c r="B201" s="3">
        <v>30518253</v>
      </c>
      <c r="C201" s="3" t="s">
        <v>70</v>
      </c>
      <c r="D201" s="3" t="s">
        <v>71</v>
      </c>
      <c r="E201" s="6">
        <v>13049948485</v>
      </c>
      <c r="F201" s="3" t="s">
        <v>82</v>
      </c>
      <c r="G201" s="64">
        <v>9</v>
      </c>
      <c r="H201" s="3" t="s">
        <v>375</v>
      </c>
      <c r="I201" s="41"/>
      <c r="J201" s="63" t="s">
        <v>75</v>
      </c>
      <c r="K201" s="58" t="s">
        <v>141</v>
      </c>
      <c r="L201" s="75">
        <v>62</v>
      </c>
      <c r="M201" s="81">
        <v>57</v>
      </c>
      <c r="N201" s="84">
        <f>(Tabela1[[#This Row],[SIMULADO 2 NOTA]]-Tabela1[[#This Row],[SIMULADO 1 - NOTA]])</f>
        <v>-5</v>
      </c>
      <c r="O201" s="52"/>
      <c r="P201" s="52"/>
      <c r="Q201" s="52"/>
      <c r="R201" s="52"/>
      <c r="S201" s="52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34"/>
      <c r="BP201" s="22"/>
    </row>
    <row r="202" spans="1:68" s="3" customFormat="1" ht="25.5" customHeight="1">
      <c r="A202" s="22" t="s">
        <v>69</v>
      </c>
      <c r="B202" s="3">
        <v>38190222</v>
      </c>
      <c r="C202" s="3" t="s">
        <v>70</v>
      </c>
      <c r="D202" s="3" t="s">
        <v>71</v>
      </c>
      <c r="E202" s="6">
        <v>8047926403</v>
      </c>
      <c r="F202" s="3" t="s">
        <v>82</v>
      </c>
      <c r="G202" s="64">
        <v>9</v>
      </c>
      <c r="H202" s="3" t="s">
        <v>376</v>
      </c>
      <c r="I202" s="41"/>
      <c r="J202" s="63" t="s">
        <v>75</v>
      </c>
      <c r="K202" s="58" t="s">
        <v>377</v>
      </c>
      <c r="L202" s="75">
        <v>66</v>
      </c>
      <c r="M202" s="81">
        <v>56</v>
      </c>
      <c r="N202" s="84">
        <f>(Tabela1[[#This Row],[SIMULADO 2 NOTA]]-Tabela1[[#This Row],[SIMULADO 1 - NOTA]])</f>
        <v>-10</v>
      </c>
      <c r="O202" s="52"/>
      <c r="P202" s="52"/>
      <c r="Q202" s="52"/>
      <c r="R202" s="52"/>
      <c r="S202" s="52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34"/>
      <c r="BP202" s="22"/>
    </row>
    <row r="203" spans="1:68" s="3" customFormat="1" ht="25.5" customHeight="1">
      <c r="A203" s="22" t="s">
        <v>69</v>
      </c>
      <c r="B203" s="3">
        <v>33949875</v>
      </c>
      <c r="C203" s="3" t="s">
        <v>70</v>
      </c>
      <c r="D203" s="3" t="s">
        <v>71</v>
      </c>
      <c r="E203" s="6">
        <v>2178790470</v>
      </c>
      <c r="F203" s="3" t="s">
        <v>82</v>
      </c>
      <c r="G203" s="64">
        <v>9</v>
      </c>
      <c r="H203" s="15" t="s">
        <v>378</v>
      </c>
      <c r="I203" s="40" t="s">
        <v>74</v>
      </c>
      <c r="J203" s="63" t="s">
        <v>75</v>
      </c>
      <c r="K203" s="58" t="s">
        <v>127</v>
      </c>
      <c r="L203" s="75">
        <v>53</v>
      </c>
      <c r="M203" s="81">
        <v>39</v>
      </c>
      <c r="N203" s="84">
        <f>(Tabela1[[#This Row],[SIMULADO 2 NOTA]]-Tabela1[[#This Row],[SIMULADO 1 - NOTA]])</f>
        <v>-14</v>
      </c>
      <c r="O203" s="52"/>
      <c r="P203" s="52"/>
      <c r="Q203" s="52"/>
      <c r="R203" s="52"/>
      <c r="S203" s="52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34"/>
      <c r="BP203" s="22"/>
    </row>
    <row r="204" spans="1:68" s="5" customFormat="1" ht="25.5" hidden="1" customHeight="1">
      <c r="A204" s="22" t="s">
        <v>69</v>
      </c>
      <c r="B204" s="3">
        <v>32957891</v>
      </c>
      <c r="C204" s="3" t="s">
        <v>70</v>
      </c>
      <c r="D204" s="3" t="s">
        <v>71</v>
      </c>
      <c r="E204" s="6">
        <v>49659340400</v>
      </c>
      <c r="F204" s="3" t="s">
        <v>91</v>
      </c>
      <c r="G204" s="64">
        <v>7</v>
      </c>
      <c r="H204" s="3" t="s">
        <v>379</v>
      </c>
      <c r="I204" s="41"/>
      <c r="J204" s="63" t="s">
        <v>77</v>
      </c>
      <c r="K204" s="57"/>
      <c r="L204" s="76">
        <v>0</v>
      </c>
      <c r="M204" s="81">
        <v>0</v>
      </c>
      <c r="N204" s="81">
        <f>(Tabela1[[#This Row],[SIMULADO 2 NOTA]]-Tabela1[[#This Row],[SIMULADO 1 - NOTA]])</f>
        <v>0</v>
      </c>
      <c r="O204" s="69"/>
      <c r="P204" s="69"/>
      <c r="Q204" s="69"/>
      <c r="R204" s="69"/>
      <c r="S204" s="69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34"/>
      <c r="BP204" s="23"/>
    </row>
    <row r="205" spans="1:68" s="3" customFormat="1" ht="25.5" customHeight="1">
      <c r="A205" s="22" t="s">
        <v>69</v>
      </c>
      <c r="B205" s="3">
        <v>31280463</v>
      </c>
      <c r="C205" s="3" t="s">
        <v>70</v>
      </c>
      <c r="D205" s="3" t="s">
        <v>71</v>
      </c>
      <c r="E205" s="6">
        <v>4507093538</v>
      </c>
      <c r="F205" s="3" t="s">
        <v>72</v>
      </c>
      <c r="G205" s="64">
        <v>11</v>
      </c>
      <c r="H205" s="15" t="s">
        <v>380</v>
      </c>
      <c r="I205" s="40" t="s">
        <v>74</v>
      </c>
      <c r="J205" s="63" t="s">
        <v>77</v>
      </c>
      <c r="K205" s="58" t="s">
        <v>249</v>
      </c>
      <c r="L205" s="75">
        <v>50</v>
      </c>
      <c r="M205" s="82">
        <v>41</v>
      </c>
      <c r="N205" s="84">
        <f>(Tabela1[[#This Row],[SIMULADO 2 NOTA]]-Tabela1[[#This Row],[SIMULADO 1 - NOTA]])</f>
        <v>-9</v>
      </c>
      <c r="O205" s="78"/>
      <c r="P205" s="78"/>
      <c r="Q205" s="78"/>
      <c r="R205" s="78"/>
      <c r="S205" s="78"/>
      <c r="T205" s="68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34"/>
      <c r="BP205" s="22"/>
    </row>
    <row r="206" spans="1:68" s="3" customFormat="1" ht="25.5" customHeight="1">
      <c r="A206" s="22" t="s">
        <v>69</v>
      </c>
      <c r="B206" s="3">
        <v>31286411</v>
      </c>
      <c r="C206" s="3" t="s">
        <v>70</v>
      </c>
      <c r="D206" s="3" t="s">
        <v>71</v>
      </c>
      <c r="E206" s="6">
        <v>3399669470</v>
      </c>
      <c r="F206" s="3" t="s">
        <v>72</v>
      </c>
      <c r="G206" s="64">
        <v>11</v>
      </c>
      <c r="H206" s="15" t="s">
        <v>381</v>
      </c>
      <c r="I206" s="40" t="s">
        <v>74</v>
      </c>
      <c r="J206" s="63" t="s">
        <v>77</v>
      </c>
      <c r="K206" s="58" t="s">
        <v>382</v>
      </c>
      <c r="L206" s="75">
        <v>59</v>
      </c>
      <c r="M206" s="82">
        <v>44</v>
      </c>
      <c r="N206" s="84">
        <f>(Tabela1[[#This Row],[SIMULADO 2 NOTA]]-Tabela1[[#This Row],[SIMULADO 1 - NOTA]])</f>
        <v>-15</v>
      </c>
      <c r="O206" s="78"/>
      <c r="P206" s="78"/>
      <c r="Q206" s="78"/>
      <c r="R206" s="78"/>
      <c r="S206" s="78"/>
      <c r="T206" s="68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34"/>
      <c r="BP206" s="22"/>
    </row>
    <row r="207" spans="1:68" s="3" customFormat="1" ht="25.5" hidden="1" customHeight="1">
      <c r="A207" s="22" t="s">
        <v>69</v>
      </c>
      <c r="B207" s="3">
        <v>32672152</v>
      </c>
      <c r="C207" s="3" t="s">
        <v>70</v>
      </c>
      <c r="D207" s="3" t="s">
        <v>71</v>
      </c>
      <c r="E207" s="6">
        <v>14383274471</v>
      </c>
      <c r="F207" s="3" t="s">
        <v>91</v>
      </c>
      <c r="G207" s="64">
        <v>7</v>
      </c>
      <c r="H207" s="3" t="s">
        <v>383</v>
      </c>
      <c r="I207" s="41"/>
      <c r="J207" s="63" t="s">
        <v>77</v>
      </c>
      <c r="K207" s="57"/>
      <c r="L207" s="76">
        <v>0</v>
      </c>
      <c r="M207" s="81">
        <v>0</v>
      </c>
      <c r="N207" s="81">
        <f>(Tabela1[[#This Row],[SIMULADO 2 NOTA]]-Tabela1[[#This Row],[SIMULADO 1 - NOTA]])</f>
        <v>0</v>
      </c>
      <c r="O207" s="70"/>
      <c r="P207" s="70"/>
      <c r="Q207" s="70"/>
      <c r="R207" s="70"/>
      <c r="S207" s="70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34"/>
      <c r="BP207" s="22"/>
    </row>
    <row r="208" spans="1:68" s="3" customFormat="1" ht="25.5" hidden="1" customHeight="1">
      <c r="A208" s="22" t="s">
        <v>69</v>
      </c>
      <c r="B208" s="3">
        <v>34068597</v>
      </c>
      <c r="C208" s="3" t="s">
        <v>70</v>
      </c>
      <c r="D208" s="3" t="s">
        <v>71</v>
      </c>
      <c r="E208" s="6">
        <v>6236941157</v>
      </c>
      <c r="F208" s="3" t="s">
        <v>82</v>
      </c>
      <c r="G208" s="64">
        <v>7</v>
      </c>
      <c r="H208" s="3" t="s">
        <v>384</v>
      </c>
      <c r="I208" s="41"/>
      <c r="J208" s="63" t="s">
        <v>77</v>
      </c>
      <c r="K208" s="57"/>
      <c r="L208" s="76">
        <v>0</v>
      </c>
      <c r="M208" s="81">
        <v>0</v>
      </c>
      <c r="N208" s="81">
        <f>(Tabela1[[#This Row],[SIMULADO 2 NOTA]]-Tabela1[[#This Row],[SIMULADO 1 - NOTA]])</f>
        <v>0</v>
      </c>
      <c r="O208" s="53"/>
      <c r="P208" s="53"/>
      <c r="Q208" s="53"/>
      <c r="R208" s="53"/>
      <c r="S208" s="53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34"/>
      <c r="BP208" s="22"/>
    </row>
    <row r="209" spans="1:68" s="3" customFormat="1" ht="25.5" customHeight="1">
      <c r="A209" s="22" t="s">
        <v>69</v>
      </c>
      <c r="B209" s="3">
        <v>34097201</v>
      </c>
      <c r="C209" s="3" t="s">
        <v>70</v>
      </c>
      <c r="D209" s="3" t="s">
        <v>71</v>
      </c>
      <c r="E209" s="6">
        <v>9572931431</v>
      </c>
      <c r="F209" s="3" t="s">
        <v>91</v>
      </c>
      <c r="G209" s="64">
        <v>7</v>
      </c>
      <c r="H209" s="3" t="s">
        <v>385</v>
      </c>
      <c r="I209" s="41"/>
      <c r="J209" s="63" t="s">
        <v>77</v>
      </c>
      <c r="K209" s="57"/>
      <c r="L209" s="76">
        <v>0</v>
      </c>
      <c r="M209" s="81">
        <v>48</v>
      </c>
      <c r="N209" s="79">
        <f>(Tabela1[[#This Row],[SIMULADO 2 NOTA]]-Tabela1[[#This Row],[SIMULADO 1 - NOTA]])</f>
        <v>48</v>
      </c>
      <c r="O209" s="53"/>
      <c r="P209" s="53"/>
      <c r="Q209" s="53"/>
      <c r="R209" s="53"/>
      <c r="S209" s="53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34"/>
      <c r="BP209" s="22"/>
    </row>
    <row r="210" spans="1:68" s="3" customFormat="1" ht="25.5" hidden="1" customHeight="1">
      <c r="A210" s="22" t="s">
        <v>69</v>
      </c>
      <c r="B210" s="3">
        <v>33648841</v>
      </c>
      <c r="C210" s="3" t="s">
        <v>70</v>
      </c>
      <c r="D210" s="3" t="s">
        <v>71</v>
      </c>
      <c r="E210" s="6">
        <v>4736360186</v>
      </c>
      <c r="F210" s="3" t="s">
        <v>91</v>
      </c>
      <c r="G210" s="64">
        <v>7</v>
      </c>
      <c r="H210" s="3" t="s">
        <v>386</v>
      </c>
      <c r="I210" s="41"/>
      <c r="J210" s="63" t="s">
        <v>77</v>
      </c>
      <c r="K210" s="57"/>
      <c r="L210" s="76">
        <v>0</v>
      </c>
      <c r="M210" s="81">
        <v>0</v>
      </c>
      <c r="N210" s="81">
        <f>(Tabela1[[#This Row],[SIMULADO 2 NOTA]]-Tabela1[[#This Row],[SIMULADO 1 - NOTA]])</f>
        <v>0</v>
      </c>
      <c r="O210" s="53"/>
      <c r="P210" s="53"/>
      <c r="Q210" s="53"/>
      <c r="R210" s="53"/>
      <c r="S210" s="53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34"/>
      <c r="BP210" s="22"/>
    </row>
    <row r="211" spans="1:68" s="3" customFormat="1" ht="25.5" customHeight="1">
      <c r="A211" s="22" t="s">
        <v>69</v>
      </c>
      <c r="B211" s="3">
        <v>30082617</v>
      </c>
      <c r="C211" s="3" t="s">
        <v>70</v>
      </c>
      <c r="D211" s="3" t="s">
        <v>71</v>
      </c>
      <c r="E211" s="6">
        <v>9732196459</v>
      </c>
      <c r="F211" s="3" t="s">
        <v>78</v>
      </c>
      <c r="G211" s="64">
        <v>9</v>
      </c>
      <c r="H211" s="18" t="s">
        <v>387</v>
      </c>
      <c r="I211" s="43" t="s">
        <v>84</v>
      </c>
      <c r="J211" s="63" t="s">
        <v>75</v>
      </c>
      <c r="K211" s="58" t="s">
        <v>187</v>
      </c>
      <c r="L211" s="75">
        <v>48</v>
      </c>
      <c r="M211" s="81">
        <v>57</v>
      </c>
      <c r="N211" s="79">
        <f>(Tabela1[[#This Row],[SIMULADO 2 NOTA]]-Tabela1[[#This Row],[SIMULADO 1 - NOTA]])</f>
        <v>9</v>
      </c>
      <c r="O211" s="52"/>
      <c r="P211" s="52"/>
      <c r="Q211" s="52"/>
      <c r="R211" s="52"/>
      <c r="S211" s="52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34"/>
      <c r="BP211" s="22"/>
    </row>
    <row r="212" spans="1:68" s="3" customFormat="1" ht="25.5" hidden="1" customHeight="1">
      <c r="A212" s="22" t="s">
        <v>69</v>
      </c>
      <c r="B212" s="3">
        <v>32738994</v>
      </c>
      <c r="C212" s="3" t="s">
        <v>70</v>
      </c>
      <c r="D212" s="3" t="s">
        <v>71</v>
      </c>
      <c r="E212" s="6">
        <v>71413378498</v>
      </c>
      <c r="F212" s="3" t="s">
        <v>91</v>
      </c>
      <c r="G212" s="64">
        <v>7</v>
      </c>
      <c r="H212" s="8" t="s">
        <v>388</v>
      </c>
      <c r="I212" s="42" t="s">
        <v>80</v>
      </c>
      <c r="J212" s="63" t="s">
        <v>77</v>
      </c>
      <c r="K212" s="58" t="s">
        <v>303</v>
      </c>
      <c r="L212" s="76">
        <v>0</v>
      </c>
      <c r="M212" s="81">
        <v>35</v>
      </c>
      <c r="N212" s="79">
        <f>(Tabela1[[#This Row],[SIMULADO 2 NOTA]]-Tabela1[[#This Row],[SIMULADO 1 - NOTA]])</f>
        <v>35</v>
      </c>
      <c r="O212" s="53"/>
      <c r="P212" s="53"/>
      <c r="Q212" s="53"/>
      <c r="R212" s="53"/>
      <c r="S212" s="53"/>
      <c r="T212" s="7"/>
      <c r="U212" s="7"/>
      <c r="V212" s="7"/>
      <c r="W212" s="7">
        <v>6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34"/>
      <c r="BP212" s="22"/>
    </row>
    <row r="213" spans="1:68" s="3" customFormat="1" ht="25.5" hidden="1" customHeight="1">
      <c r="A213" s="22" t="s">
        <v>69</v>
      </c>
      <c r="B213" s="3">
        <v>25562967</v>
      </c>
      <c r="C213" s="3" t="s">
        <v>70</v>
      </c>
      <c r="D213" s="3" t="s">
        <v>71</v>
      </c>
      <c r="E213" s="6">
        <v>11072941422</v>
      </c>
      <c r="F213" s="3" t="s">
        <v>82</v>
      </c>
      <c r="G213" s="64">
        <v>9</v>
      </c>
      <c r="H213" s="3" t="s">
        <v>389</v>
      </c>
      <c r="I213" s="41"/>
      <c r="J213" s="63" t="s">
        <v>75</v>
      </c>
      <c r="K213" s="58" t="s">
        <v>346</v>
      </c>
      <c r="L213" s="76">
        <v>0</v>
      </c>
      <c r="M213" s="81">
        <v>0</v>
      </c>
      <c r="N213" s="81">
        <f>(Tabela1[[#This Row],[SIMULADO 2 NOTA]]-Tabela1[[#This Row],[SIMULADO 1 - NOTA]])</f>
        <v>0</v>
      </c>
      <c r="O213" s="53"/>
      <c r="P213" s="53"/>
      <c r="Q213" s="53"/>
      <c r="R213" s="53"/>
      <c r="S213" s="53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34"/>
      <c r="BP213" s="22"/>
    </row>
    <row r="214" spans="1:68" s="3" customFormat="1" ht="25.5" hidden="1" customHeight="1">
      <c r="A214" s="22" t="s">
        <v>69</v>
      </c>
      <c r="B214" s="3">
        <v>33376263</v>
      </c>
      <c r="C214" s="3" t="s">
        <v>70</v>
      </c>
      <c r="D214" s="3" t="s">
        <v>71</v>
      </c>
      <c r="E214" s="6">
        <v>9017495405</v>
      </c>
      <c r="F214" s="3" t="s">
        <v>82</v>
      </c>
      <c r="G214" s="64">
        <v>7</v>
      </c>
      <c r="H214" s="3" t="s">
        <v>390</v>
      </c>
      <c r="I214" s="41"/>
      <c r="J214" s="63" t="s">
        <v>77</v>
      </c>
      <c r="K214" s="57"/>
      <c r="L214" s="76">
        <v>0</v>
      </c>
      <c r="M214" s="81">
        <v>0</v>
      </c>
      <c r="N214" s="81">
        <f>(Tabela1[[#This Row],[SIMULADO 2 NOTA]]-Tabela1[[#This Row],[SIMULADO 1 - NOTA]])</f>
        <v>0</v>
      </c>
      <c r="O214" s="69"/>
      <c r="P214" s="69"/>
      <c r="Q214" s="69"/>
      <c r="R214" s="69"/>
      <c r="S214" s="69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34"/>
      <c r="BP214" s="22"/>
    </row>
    <row r="215" spans="1:68" s="3" customFormat="1" ht="25.5" customHeight="1">
      <c r="A215" s="22" t="s">
        <v>69</v>
      </c>
      <c r="B215" s="3">
        <v>25566091</v>
      </c>
      <c r="C215" s="3" t="s">
        <v>70</v>
      </c>
      <c r="D215" s="3" t="s">
        <v>71</v>
      </c>
      <c r="E215" s="6">
        <v>11148800433</v>
      </c>
      <c r="F215" s="3" t="s">
        <v>82</v>
      </c>
      <c r="G215" s="64">
        <v>11</v>
      </c>
      <c r="H215" s="18" t="s">
        <v>391</v>
      </c>
      <c r="I215" s="43" t="s">
        <v>84</v>
      </c>
      <c r="J215" s="63" t="s">
        <v>77</v>
      </c>
      <c r="K215" s="58" t="s">
        <v>152</v>
      </c>
      <c r="L215" s="75">
        <v>47</v>
      </c>
      <c r="M215" s="82">
        <v>30</v>
      </c>
      <c r="N215" s="84">
        <f>(Tabela1[[#This Row],[SIMULADO 2 NOTA]]-Tabela1[[#This Row],[SIMULADO 1 - NOTA]])</f>
        <v>-17</v>
      </c>
      <c r="O215" s="78"/>
      <c r="P215" s="78"/>
      <c r="Q215" s="78"/>
      <c r="R215" s="78"/>
      <c r="S215" s="78"/>
      <c r="T215" s="68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34"/>
      <c r="BP215" s="22"/>
    </row>
    <row r="216" spans="1:68" s="3" customFormat="1" ht="25.5" customHeight="1">
      <c r="A216" s="22" t="s">
        <v>69</v>
      </c>
      <c r="B216" s="3">
        <v>34531157</v>
      </c>
      <c r="C216" s="3" t="s">
        <v>70</v>
      </c>
      <c r="D216" s="3" t="s">
        <v>71</v>
      </c>
      <c r="E216" s="6">
        <v>8748753319</v>
      </c>
      <c r="F216" s="3" t="s">
        <v>72</v>
      </c>
      <c r="G216" s="64">
        <v>7</v>
      </c>
      <c r="H216" s="3" t="s">
        <v>392</v>
      </c>
      <c r="I216" s="41"/>
      <c r="J216" s="63" t="s">
        <v>77</v>
      </c>
      <c r="K216" s="57"/>
      <c r="L216" s="76">
        <v>0</v>
      </c>
      <c r="M216" s="81">
        <v>47</v>
      </c>
      <c r="N216" s="79">
        <f>(Tabela1[[#This Row],[SIMULADO 2 NOTA]]-Tabela1[[#This Row],[SIMULADO 1 - NOTA]])</f>
        <v>47</v>
      </c>
      <c r="O216" s="70"/>
      <c r="P216" s="70"/>
      <c r="Q216" s="70"/>
      <c r="R216" s="70"/>
      <c r="S216" s="70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34"/>
      <c r="BP216" s="22"/>
    </row>
    <row r="217" spans="1:68" s="3" customFormat="1" ht="25.5" customHeight="1">
      <c r="A217" s="22" t="s">
        <v>69</v>
      </c>
      <c r="B217" s="3">
        <v>32785941</v>
      </c>
      <c r="C217" s="3" t="s">
        <v>70</v>
      </c>
      <c r="D217" s="3" t="s">
        <v>71</v>
      </c>
      <c r="E217" s="6">
        <v>14567693400</v>
      </c>
      <c r="F217" s="3" t="s">
        <v>72</v>
      </c>
      <c r="G217" s="64">
        <v>7</v>
      </c>
      <c r="H217" s="3" t="s">
        <v>393</v>
      </c>
      <c r="I217" s="41"/>
      <c r="J217" s="63" t="s">
        <v>77</v>
      </c>
      <c r="K217" s="57"/>
      <c r="L217" s="76">
        <v>0</v>
      </c>
      <c r="M217" s="81">
        <v>38</v>
      </c>
      <c r="N217" s="79">
        <f>(Tabela1[[#This Row],[SIMULADO 2 NOTA]]-Tabela1[[#This Row],[SIMULADO 1 - NOTA]])</f>
        <v>38</v>
      </c>
      <c r="O217" s="53"/>
      <c r="P217" s="53"/>
      <c r="Q217" s="53"/>
      <c r="R217" s="53"/>
      <c r="S217" s="53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34"/>
      <c r="BP217" s="22"/>
    </row>
    <row r="218" spans="1:68" s="3" customFormat="1" ht="25.5" hidden="1" customHeight="1">
      <c r="A218" s="22" t="s">
        <v>69</v>
      </c>
      <c r="B218" s="3">
        <v>32916477</v>
      </c>
      <c r="C218" s="3" t="s">
        <v>70</v>
      </c>
      <c r="D218" s="3" t="s">
        <v>71</v>
      </c>
      <c r="E218" s="6">
        <v>10365465437</v>
      </c>
      <c r="F218" s="3" t="s">
        <v>91</v>
      </c>
      <c r="G218" s="64">
        <v>7</v>
      </c>
      <c r="H218" s="3" t="s">
        <v>394</v>
      </c>
      <c r="I218" s="41"/>
      <c r="J218" s="63" t="s">
        <v>77</v>
      </c>
      <c r="K218" s="57"/>
      <c r="L218" s="76">
        <v>0</v>
      </c>
      <c r="M218" s="81">
        <v>0</v>
      </c>
      <c r="N218" s="81">
        <f>(Tabela1[[#This Row],[SIMULADO 2 NOTA]]-Tabela1[[#This Row],[SIMULADO 1 - NOTA]])</f>
        <v>0</v>
      </c>
      <c r="O218" s="53"/>
      <c r="P218" s="53"/>
      <c r="Q218" s="53"/>
      <c r="R218" s="53"/>
      <c r="S218" s="53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34"/>
      <c r="BP218" s="22"/>
    </row>
    <row r="219" spans="1:68" s="3" customFormat="1" ht="25.5" hidden="1" customHeight="1">
      <c r="A219" s="22" t="s">
        <v>69</v>
      </c>
      <c r="B219" s="3">
        <v>32653191</v>
      </c>
      <c r="C219" s="3" t="s">
        <v>70</v>
      </c>
      <c r="D219" s="3" t="s">
        <v>71</v>
      </c>
      <c r="E219" s="6">
        <v>70975791451</v>
      </c>
      <c r="F219" s="3" t="s">
        <v>82</v>
      </c>
      <c r="G219" s="64">
        <v>7</v>
      </c>
      <c r="H219" s="3" t="s">
        <v>395</v>
      </c>
      <c r="I219" s="41"/>
      <c r="J219" s="63" t="s">
        <v>77</v>
      </c>
      <c r="K219" s="57"/>
      <c r="L219" s="76">
        <v>0</v>
      </c>
      <c r="M219" s="81">
        <v>0</v>
      </c>
      <c r="N219" s="81">
        <f>(Tabela1[[#This Row],[SIMULADO 2 NOTA]]-Tabela1[[#This Row],[SIMULADO 1 - NOTA]])</f>
        <v>0</v>
      </c>
      <c r="O219" s="53"/>
      <c r="P219" s="53"/>
      <c r="Q219" s="53"/>
      <c r="R219" s="53"/>
      <c r="S219" s="53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34"/>
      <c r="BP219" s="22"/>
    </row>
    <row r="220" spans="1:68" s="3" customFormat="1" ht="25.5" customHeight="1">
      <c r="A220" s="22" t="s">
        <v>69</v>
      </c>
      <c r="B220" s="3">
        <v>29566533</v>
      </c>
      <c r="C220" s="3" t="s">
        <v>70</v>
      </c>
      <c r="D220" s="3" t="s">
        <v>71</v>
      </c>
      <c r="E220" s="6">
        <v>8272188422</v>
      </c>
      <c r="F220" s="3" t="s">
        <v>78</v>
      </c>
      <c r="G220" s="64">
        <v>9</v>
      </c>
      <c r="H220" s="3" t="s">
        <v>396</v>
      </c>
      <c r="I220" s="41"/>
      <c r="J220" s="63" t="s">
        <v>75</v>
      </c>
      <c r="K220" s="58" t="s">
        <v>397</v>
      </c>
      <c r="L220" s="75">
        <v>72</v>
      </c>
      <c r="M220" s="81">
        <v>65</v>
      </c>
      <c r="N220" s="84">
        <f>(Tabela1[[#This Row],[SIMULADO 2 NOTA]]-Tabela1[[#This Row],[SIMULADO 1 - NOTA]])</f>
        <v>-7</v>
      </c>
      <c r="O220" s="54"/>
      <c r="P220" s="54"/>
      <c r="Q220" s="54"/>
      <c r="R220" s="54"/>
      <c r="S220" s="54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34"/>
      <c r="BP220" s="22"/>
    </row>
    <row r="221" spans="1:68" s="3" customFormat="1" ht="25.5" customHeight="1">
      <c r="A221" s="22" t="s">
        <v>69</v>
      </c>
      <c r="B221" s="3">
        <v>25490079</v>
      </c>
      <c r="C221" s="3" t="s">
        <v>70</v>
      </c>
      <c r="D221" s="3" t="s">
        <v>71</v>
      </c>
      <c r="E221" s="6">
        <v>11033567477</v>
      </c>
      <c r="F221" s="3" t="s">
        <v>82</v>
      </c>
      <c r="G221" s="64">
        <v>11</v>
      </c>
      <c r="H221" s="3" t="s">
        <v>398</v>
      </c>
      <c r="I221" s="41"/>
      <c r="J221" s="63" t="s">
        <v>77</v>
      </c>
      <c r="K221" s="58" t="s">
        <v>141</v>
      </c>
      <c r="L221" s="75">
        <v>69</v>
      </c>
      <c r="M221" s="82">
        <v>52</v>
      </c>
      <c r="N221" s="84">
        <f>(Tabela1[[#This Row],[SIMULADO 2 NOTA]]-Tabela1[[#This Row],[SIMULADO 1 - NOTA]])</f>
        <v>-17</v>
      </c>
      <c r="O221" s="78"/>
      <c r="P221" s="78"/>
      <c r="Q221" s="78"/>
      <c r="R221" s="78"/>
      <c r="S221" s="78"/>
      <c r="T221" s="68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34"/>
      <c r="BP221" s="22"/>
    </row>
    <row r="222" spans="1:68" s="3" customFormat="1" ht="25.5" customHeight="1">
      <c r="A222" s="22" t="s">
        <v>69</v>
      </c>
      <c r="B222" s="5">
        <v>33361959</v>
      </c>
      <c r="C222" s="3" t="s">
        <v>70</v>
      </c>
      <c r="D222" s="3" t="s">
        <v>71</v>
      </c>
      <c r="E222" s="6">
        <v>71324831456</v>
      </c>
      <c r="F222" s="3" t="s">
        <v>78</v>
      </c>
      <c r="G222" s="64">
        <v>7</v>
      </c>
      <c r="H222" s="3" t="s">
        <v>399</v>
      </c>
      <c r="I222" s="41"/>
      <c r="J222" s="63" t="s">
        <v>77</v>
      </c>
      <c r="K222" s="57"/>
      <c r="L222" s="76">
        <v>0</v>
      </c>
      <c r="M222" s="81">
        <v>34</v>
      </c>
      <c r="N222" s="79">
        <f>(Tabela1[[#This Row],[SIMULADO 2 NOTA]]-Tabela1[[#This Row],[SIMULADO 1 - NOTA]])</f>
        <v>34</v>
      </c>
      <c r="O222" s="70"/>
      <c r="P222" s="70"/>
      <c r="Q222" s="70"/>
      <c r="R222" s="70"/>
      <c r="S222" s="70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34"/>
      <c r="BP222" s="22"/>
    </row>
    <row r="223" spans="1:68" s="3" customFormat="1" ht="25.5" customHeight="1">
      <c r="A223" s="22" t="s">
        <v>69</v>
      </c>
      <c r="B223" s="3">
        <v>28948343</v>
      </c>
      <c r="C223" s="3" t="s">
        <v>70</v>
      </c>
      <c r="D223" s="3" t="s">
        <v>71</v>
      </c>
      <c r="E223" s="6">
        <v>4922621369</v>
      </c>
      <c r="F223" s="3" t="s">
        <v>72</v>
      </c>
      <c r="G223" s="64">
        <v>9</v>
      </c>
      <c r="H223" s="15" t="s">
        <v>400</v>
      </c>
      <c r="I223" s="40" t="s">
        <v>74</v>
      </c>
      <c r="J223" s="63" t="s">
        <v>75</v>
      </c>
      <c r="K223" s="58" t="s">
        <v>191</v>
      </c>
      <c r="L223" s="75">
        <v>58</v>
      </c>
      <c r="M223" s="81">
        <v>46</v>
      </c>
      <c r="N223" s="84">
        <f>(Tabela1[[#This Row],[SIMULADO 2 NOTA]]-Tabela1[[#This Row],[SIMULADO 1 - NOTA]])</f>
        <v>-12</v>
      </c>
      <c r="O223" s="54"/>
      <c r="P223" s="54"/>
      <c r="Q223" s="54"/>
      <c r="R223" s="54"/>
      <c r="S223" s="54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34"/>
      <c r="BP223" s="22"/>
    </row>
    <row r="224" spans="1:68" s="3" customFormat="1" ht="25.5" customHeight="1">
      <c r="A224" s="22" t="s">
        <v>69</v>
      </c>
      <c r="B224" s="3">
        <v>25161326</v>
      </c>
      <c r="C224" s="3" t="s">
        <v>70</v>
      </c>
      <c r="D224" s="3" t="s">
        <v>71</v>
      </c>
      <c r="E224" s="6">
        <v>4354202409</v>
      </c>
      <c r="F224" s="3" t="s">
        <v>72</v>
      </c>
      <c r="G224" s="64">
        <v>11</v>
      </c>
      <c r="H224" s="18" t="s">
        <v>401</v>
      </c>
      <c r="I224" s="43" t="s">
        <v>84</v>
      </c>
      <c r="J224" s="63" t="s">
        <v>77</v>
      </c>
      <c r="K224" s="58" t="s">
        <v>294</v>
      </c>
      <c r="L224" s="75">
        <v>45</v>
      </c>
      <c r="M224" s="82">
        <v>29</v>
      </c>
      <c r="N224" s="84">
        <f>(Tabela1[[#This Row],[SIMULADO 2 NOTA]]-Tabela1[[#This Row],[SIMULADO 1 - NOTA]])</f>
        <v>-16</v>
      </c>
      <c r="O224" s="78"/>
      <c r="P224" s="78"/>
      <c r="Q224" s="78"/>
      <c r="R224" s="78"/>
      <c r="S224" s="78"/>
      <c r="T224" s="68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34"/>
      <c r="BP224" s="22"/>
    </row>
    <row r="225" spans="1:68" s="3" customFormat="1" ht="25.5" customHeight="1">
      <c r="A225" s="22" t="s">
        <v>69</v>
      </c>
      <c r="B225" s="3">
        <v>26133695</v>
      </c>
      <c r="C225" s="3" t="s">
        <v>70</v>
      </c>
      <c r="D225" s="3" t="s">
        <v>71</v>
      </c>
      <c r="E225" s="6">
        <v>11674077416</v>
      </c>
      <c r="F225" s="3" t="s">
        <v>72</v>
      </c>
      <c r="G225" s="64">
        <v>11</v>
      </c>
      <c r="H225" s="18" t="s">
        <v>402</v>
      </c>
      <c r="I225" s="43" t="s">
        <v>84</v>
      </c>
      <c r="J225" s="63" t="s">
        <v>77</v>
      </c>
      <c r="K225" s="58" t="s">
        <v>191</v>
      </c>
      <c r="L225" s="75">
        <v>47</v>
      </c>
      <c r="M225" s="82">
        <v>37</v>
      </c>
      <c r="N225" s="84">
        <f>(Tabela1[[#This Row],[SIMULADO 2 NOTA]]-Tabela1[[#This Row],[SIMULADO 1 - NOTA]])</f>
        <v>-10</v>
      </c>
      <c r="O225" s="78"/>
      <c r="P225" s="78"/>
      <c r="Q225" s="78"/>
      <c r="R225" s="78"/>
      <c r="S225" s="78"/>
      <c r="T225" s="68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34"/>
      <c r="BP225" s="22"/>
    </row>
    <row r="226" spans="1:68" s="3" customFormat="1" ht="25.5" customHeight="1">
      <c r="A226" s="22" t="s">
        <v>69</v>
      </c>
      <c r="B226" s="3">
        <v>30836280</v>
      </c>
      <c r="C226" s="3" t="s">
        <v>70</v>
      </c>
      <c r="D226" s="3" t="s">
        <v>71</v>
      </c>
      <c r="E226" s="6">
        <v>70049903462</v>
      </c>
      <c r="F226" s="3" t="s">
        <v>72</v>
      </c>
      <c r="G226" s="64">
        <v>9</v>
      </c>
      <c r="H226" s="3" t="s">
        <v>403</v>
      </c>
      <c r="I226" s="41"/>
      <c r="J226" s="63" t="s">
        <v>75</v>
      </c>
      <c r="K226" s="58" t="s">
        <v>232</v>
      </c>
      <c r="L226" s="75">
        <v>67</v>
      </c>
      <c r="M226" s="81">
        <v>70</v>
      </c>
      <c r="N226" s="79">
        <f>(Tabela1[[#This Row],[SIMULADO 2 NOTA]]-Tabela1[[#This Row],[SIMULADO 1 - NOTA]])</f>
        <v>3</v>
      </c>
      <c r="O226" s="71"/>
      <c r="P226" s="71"/>
      <c r="Q226" s="71"/>
      <c r="R226" s="71"/>
      <c r="S226" s="71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34"/>
      <c r="BP226" s="22"/>
    </row>
    <row r="227" spans="1:68" s="3" customFormat="1" ht="25.5" customHeight="1">
      <c r="A227" s="22" t="s">
        <v>69</v>
      </c>
      <c r="B227" s="3">
        <v>31288553</v>
      </c>
      <c r="C227" s="3" t="s">
        <v>70</v>
      </c>
      <c r="D227" s="3" t="s">
        <v>71</v>
      </c>
      <c r="E227" s="6">
        <v>5261522498</v>
      </c>
      <c r="F227" s="3" t="s">
        <v>72</v>
      </c>
      <c r="G227" s="64">
        <v>11</v>
      </c>
      <c r="H227" s="15" t="s">
        <v>404</v>
      </c>
      <c r="I227" s="40" t="s">
        <v>74</v>
      </c>
      <c r="J227" s="63" t="s">
        <v>77</v>
      </c>
      <c r="K227" s="58" t="s">
        <v>230</v>
      </c>
      <c r="L227" s="75">
        <v>54</v>
      </c>
      <c r="M227" s="82">
        <v>46</v>
      </c>
      <c r="N227" s="84">
        <f>(Tabela1[[#This Row],[SIMULADO 2 NOTA]]-Tabela1[[#This Row],[SIMULADO 1 - NOTA]])</f>
        <v>-8</v>
      </c>
      <c r="O227" s="78"/>
      <c r="P227" s="78"/>
      <c r="Q227" s="78"/>
      <c r="R227" s="78"/>
      <c r="S227" s="78"/>
      <c r="T227" s="68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34"/>
      <c r="BP227" s="22"/>
    </row>
    <row r="228" spans="1:68" s="3" customFormat="1" ht="25.5" hidden="1" customHeight="1">
      <c r="A228" s="22" t="s">
        <v>69</v>
      </c>
      <c r="B228" s="5">
        <v>38225255</v>
      </c>
      <c r="C228" s="3" t="s">
        <v>70</v>
      </c>
      <c r="D228" s="3" t="s">
        <v>71</v>
      </c>
      <c r="E228" s="6">
        <v>8993498466</v>
      </c>
      <c r="F228" s="3" t="s">
        <v>78</v>
      </c>
      <c r="G228" s="64">
        <v>7</v>
      </c>
      <c r="H228" s="3" t="s">
        <v>405</v>
      </c>
      <c r="I228" s="41"/>
      <c r="J228" s="63" t="s">
        <v>77</v>
      </c>
      <c r="K228" s="57"/>
      <c r="L228" s="76">
        <v>0</v>
      </c>
      <c r="M228" s="81">
        <v>0</v>
      </c>
      <c r="N228" s="81">
        <f>(Tabela1[[#This Row],[SIMULADO 2 NOTA]]-Tabela1[[#This Row],[SIMULADO 1 - NOTA]])</f>
        <v>0</v>
      </c>
      <c r="O228" s="73"/>
      <c r="P228" s="73"/>
      <c r="Q228" s="73"/>
      <c r="R228" s="73"/>
      <c r="S228" s="73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34"/>
      <c r="BP228" s="22"/>
    </row>
    <row r="229" spans="1:68" s="3" customFormat="1" ht="25.5" customHeight="1">
      <c r="A229" s="22" t="s">
        <v>69</v>
      </c>
      <c r="B229" s="3">
        <v>23234181</v>
      </c>
      <c r="C229" s="3" t="s">
        <v>70</v>
      </c>
      <c r="D229" s="3" t="s">
        <v>71</v>
      </c>
      <c r="E229" s="6">
        <v>5226482400</v>
      </c>
      <c r="F229" s="3" t="s">
        <v>82</v>
      </c>
      <c r="G229" s="64">
        <v>11</v>
      </c>
      <c r="H229" s="18" t="s">
        <v>406</v>
      </c>
      <c r="I229" s="43" t="s">
        <v>84</v>
      </c>
      <c r="J229" s="63" t="s">
        <v>77</v>
      </c>
      <c r="K229" s="58" t="s">
        <v>191</v>
      </c>
      <c r="L229" s="75">
        <v>32</v>
      </c>
      <c r="M229" s="82">
        <v>38</v>
      </c>
      <c r="N229" s="92">
        <f>(Tabela1[[#This Row],[SIMULADO 2 NOTA]]-Tabela1[[#This Row],[SIMULADO 1 - NOTA]])</f>
        <v>6</v>
      </c>
      <c r="O229" s="78"/>
      <c r="P229" s="78"/>
      <c r="Q229" s="78"/>
      <c r="R229" s="78"/>
      <c r="S229" s="78"/>
      <c r="T229" s="68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34"/>
      <c r="BP229" s="22"/>
    </row>
    <row r="230" spans="1:68" s="3" customFormat="1" ht="25.5" hidden="1" customHeight="1">
      <c r="A230" s="22" t="s">
        <v>69</v>
      </c>
      <c r="B230" s="3">
        <v>31279651</v>
      </c>
      <c r="C230" s="3" t="s">
        <v>70</v>
      </c>
      <c r="D230" s="3" t="s">
        <v>71</v>
      </c>
      <c r="E230" s="6">
        <v>8420879401</v>
      </c>
      <c r="F230" s="3" t="s">
        <v>72</v>
      </c>
      <c r="G230" s="64">
        <v>11</v>
      </c>
      <c r="H230" s="15" t="s">
        <v>407</v>
      </c>
      <c r="I230" s="40" t="s">
        <v>74</v>
      </c>
      <c r="J230" s="63" t="s">
        <v>77</v>
      </c>
      <c r="K230" s="58" t="s">
        <v>408</v>
      </c>
      <c r="L230" s="75">
        <v>51</v>
      </c>
      <c r="M230" s="81">
        <v>0</v>
      </c>
      <c r="N230" s="84">
        <f>(Tabela1[[#This Row],[SIMULADO 2 NOTA]]-Tabela1[[#This Row],[SIMULADO 1 - NOTA]])</f>
        <v>-51</v>
      </c>
      <c r="O230" s="78"/>
      <c r="P230" s="78"/>
      <c r="Q230" s="78"/>
      <c r="R230" s="78"/>
      <c r="S230" s="78"/>
      <c r="T230" s="68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34"/>
      <c r="BP230" s="22"/>
    </row>
    <row r="231" spans="1:68" s="3" customFormat="1" ht="25.5" customHeight="1">
      <c r="A231" s="22" t="s">
        <v>69</v>
      </c>
      <c r="B231" s="3">
        <v>28942558</v>
      </c>
      <c r="C231" s="3" t="s">
        <v>70</v>
      </c>
      <c r="D231" s="3" t="s">
        <v>71</v>
      </c>
      <c r="E231" s="6">
        <v>5481453428</v>
      </c>
      <c r="F231" s="3" t="s">
        <v>78</v>
      </c>
      <c r="G231" s="64">
        <v>9</v>
      </c>
      <c r="H231" s="3" t="s">
        <v>409</v>
      </c>
      <c r="I231" s="41"/>
      <c r="J231" s="63" t="s">
        <v>75</v>
      </c>
      <c r="K231" s="58" t="s">
        <v>410</v>
      </c>
      <c r="L231" s="75">
        <v>69</v>
      </c>
      <c r="M231" s="81">
        <v>59</v>
      </c>
      <c r="N231" s="84">
        <f>(Tabela1[[#This Row],[SIMULADO 2 NOTA]]-Tabela1[[#This Row],[SIMULADO 1 - NOTA]])</f>
        <v>-10</v>
      </c>
      <c r="O231" s="71"/>
      <c r="P231" s="71"/>
      <c r="Q231" s="71"/>
      <c r="R231" s="71"/>
      <c r="S231" s="71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34"/>
      <c r="BP231" s="22"/>
    </row>
    <row r="232" spans="1:68" s="3" customFormat="1" ht="25.5" customHeight="1">
      <c r="A232" s="22" t="s">
        <v>69</v>
      </c>
      <c r="B232" s="3">
        <v>25378261</v>
      </c>
      <c r="C232" s="3" t="s">
        <v>70</v>
      </c>
      <c r="D232" s="3" t="s">
        <v>71</v>
      </c>
      <c r="E232" s="6">
        <v>11212505484</v>
      </c>
      <c r="F232" s="3" t="s">
        <v>72</v>
      </c>
      <c r="G232" s="64">
        <v>11</v>
      </c>
      <c r="H232" s="3" t="s">
        <v>411</v>
      </c>
      <c r="I232" s="41"/>
      <c r="J232" s="63" t="s">
        <v>77</v>
      </c>
      <c r="K232" s="58" t="s">
        <v>209</v>
      </c>
      <c r="L232" s="75">
        <v>69</v>
      </c>
      <c r="M232" s="82">
        <v>57</v>
      </c>
      <c r="N232" s="84">
        <f>(Tabela1[[#This Row],[SIMULADO 2 NOTA]]-Tabela1[[#This Row],[SIMULADO 1 - NOTA]])</f>
        <v>-12</v>
      </c>
      <c r="O232" s="78"/>
      <c r="P232" s="78"/>
      <c r="Q232" s="78"/>
      <c r="R232" s="78"/>
      <c r="S232" s="78"/>
      <c r="T232" s="68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34"/>
      <c r="BP232" s="22"/>
    </row>
    <row r="233" spans="1:68" s="3" customFormat="1" ht="25.5" customHeight="1">
      <c r="A233" s="22" t="s">
        <v>69</v>
      </c>
      <c r="B233" s="3">
        <v>32972962</v>
      </c>
      <c r="C233" s="3" t="s">
        <v>70</v>
      </c>
      <c r="D233" s="3" t="s">
        <v>71</v>
      </c>
      <c r="E233" s="6">
        <v>70574996478</v>
      </c>
      <c r="F233" s="3" t="s">
        <v>82</v>
      </c>
      <c r="G233" s="64">
        <v>7</v>
      </c>
      <c r="H233" s="3" t="s">
        <v>412</v>
      </c>
      <c r="I233" s="41"/>
      <c r="J233" s="63" t="s">
        <v>77</v>
      </c>
      <c r="K233" s="57"/>
      <c r="L233" s="76">
        <v>0</v>
      </c>
      <c r="M233" s="81">
        <v>50</v>
      </c>
      <c r="N233" s="79">
        <f>(Tabela1[[#This Row],[SIMULADO 2 NOTA]]-Tabela1[[#This Row],[SIMULADO 1 - NOTA]])</f>
        <v>50</v>
      </c>
      <c r="O233" s="73"/>
      <c r="P233" s="73"/>
      <c r="Q233" s="73"/>
      <c r="R233" s="73"/>
      <c r="S233" s="73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34"/>
      <c r="BP233" s="22"/>
    </row>
    <row r="234" spans="1:68" s="3" customFormat="1" ht="25.5" customHeight="1">
      <c r="A234" s="22" t="s">
        <v>69</v>
      </c>
      <c r="B234" s="3">
        <v>25491032</v>
      </c>
      <c r="C234" s="3" t="s">
        <v>70</v>
      </c>
      <c r="D234" s="3" t="s">
        <v>71</v>
      </c>
      <c r="E234" s="6">
        <v>9697416427</v>
      </c>
      <c r="F234" s="3" t="s">
        <v>82</v>
      </c>
      <c r="G234" s="64">
        <v>11</v>
      </c>
      <c r="H234" s="15" t="s">
        <v>413</v>
      </c>
      <c r="I234" s="40" t="s">
        <v>74</v>
      </c>
      <c r="J234" s="63" t="s">
        <v>77</v>
      </c>
      <c r="K234" s="58" t="s">
        <v>191</v>
      </c>
      <c r="L234" s="75">
        <v>51</v>
      </c>
      <c r="M234" s="82">
        <v>37</v>
      </c>
      <c r="N234" s="84">
        <f>(Tabela1[[#This Row],[SIMULADO 2 NOTA]]-Tabela1[[#This Row],[SIMULADO 1 - NOTA]])</f>
        <v>-14</v>
      </c>
      <c r="O234" s="78"/>
      <c r="P234" s="78"/>
      <c r="Q234" s="78"/>
      <c r="R234" s="78"/>
      <c r="S234" s="78"/>
      <c r="T234" s="68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34"/>
      <c r="BP234" s="22"/>
    </row>
    <row r="235" spans="1:68" s="3" customFormat="1" ht="25.5" customHeight="1">
      <c r="A235" s="22" t="s">
        <v>69</v>
      </c>
      <c r="B235" s="3">
        <v>26604868</v>
      </c>
      <c r="C235" s="3" t="s">
        <v>70</v>
      </c>
      <c r="D235" s="3" t="s">
        <v>71</v>
      </c>
      <c r="E235" s="6">
        <v>11094967459</v>
      </c>
      <c r="F235" s="3" t="s">
        <v>82</v>
      </c>
      <c r="G235" s="64">
        <v>11</v>
      </c>
      <c r="H235" s="18" t="s">
        <v>414</v>
      </c>
      <c r="I235" s="43" t="s">
        <v>84</v>
      </c>
      <c r="J235" s="63" t="s">
        <v>77</v>
      </c>
      <c r="K235" s="58" t="s">
        <v>125</v>
      </c>
      <c r="L235" s="75">
        <v>42</v>
      </c>
      <c r="M235" s="82">
        <v>25</v>
      </c>
      <c r="N235" s="84">
        <f>(Tabela1[[#This Row],[SIMULADO 2 NOTA]]-Tabela1[[#This Row],[SIMULADO 1 - NOTA]])</f>
        <v>-17</v>
      </c>
      <c r="O235" s="78"/>
      <c r="P235" s="78"/>
      <c r="Q235" s="78"/>
      <c r="R235" s="78"/>
      <c r="S235" s="78"/>
      <c r="T235" s="68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34"/>
      <c r="BP235" s="22"/>
    </row>
    <row r="236" spans="1:68" s="3" customFormat="1" ht="25.5" customHeight="1">
      <c r="A236" s="22" t="s">
        <v>69</v>
      </c>
      <c r="B236" s="3">
        <v>32740441</v>
      </c>
      <c r="C236" s="3" t="s">
        <v>70</v>
      </c>
      <c r="D236" s="3" t="s">
        <v>71</v>
      </c>
      <c r="E236" s="6">
        <v>5841679465</v>
      </c>
      <c r="F236" s="3" t="s">
        <v>91</v>
      </c>
      <c r="G236" s="64">
        <v>7</v>
      </c>
      <c r="H236" s="3" t="s">
        <v>415</v>
      </c>
      <c r="I236" s="41"/>
      <c r="J236" s="63" t="s">
        <v>77</v>
      </c>
      <c r="K236" s="57"/>
      <c r="L236" s="76">
        <v>0</v>
      </c>
      <c r="M236" s="81">
        <v>48</v>
      </c>
      <c r="N236" s="79">
        <f>(Tabela1[[#This Row],[SIMULADO 2 NOTA]]-Tabela1[[#This Row],[SIMULADO 1 - NOTA]])</f>
        <v>48</v>
      </c>
      <c r="O236" s="70"/>
      <c r="P236" s="70"/>
      <c r="Q236" s="70"/>
      <c r="R236" s="70"/>
      <c r="S236" s="70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34"/>
      <c r="BP236" s="22"/>
    </row>
    <row r="237" spans="1:68" s="3" customFormat="1" ht="25.5" customHeight="1">
      <c r="A237" s="22" t="s">
        <v>69</v>
      </c>
      <c r="B237" s="3">
        <v>29613094</v>
      </c>
      <c r="C237" s="3" t="s">
        <v>70</v>
      </c>
      <c r="D237" s="3" t="s">
        <v>71</v>
      </c>
      <c r="E237" s="6">
        <v>9052136459</v>
      </c>
      <c r="F237" s="3" t="s">
        <v>82</v>
      </c>
      <c r="G237" s="64">
        <v>9</v>
      </c>
      <c r="H237" s="18" t="s">
        <v>416</v>
      </c>
      <c r="I237" s="43" t="s">
        <v>84</v>
      </c>
      <c r="J237" s="63" t="s">
        <v>75</v>
      </c>
      <c r="K237" s="58" t="s">
        <v>240</v>
      </c>
      <c r="L237" s="75">
        <v>44</v>
      </c>
      <c r="M237" s="81">
        <v>37</v>
      </c>
      <c r="N237" s="84">
        <f>(Tabela1[[#This Row],[SIMULADO 2 NOTA]]-Tabela1[[#This Row],[SIMULADO 1 - NOTA]])</f>
        <v>-7</v>
      </c>
      <c r="O237" s="52"/>
      <c r="P237" s="52"/>
      <c r="Q237" s="52"/>
      <c r="R237" s="52"/>
      <c r="S237" s="52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34"/>
      <c r="BP237" s="22"/>
    </row>
    <row r="238" spans="1:68" s="3" customFormat="1" ht="25.5" hidden="1" customHeight="1">
      <c r="A238" s="22" t="s">
        <v>69</v>
      </c>
      <c r="B238" s="3">
        <v>31283748</v>
      </c>
      <c r="C238" s="3" t="s">
        <v>70</v>
      </c>
      <c r="D238" s="3" t="s">
        <v>71</v>
      </c>
      <c r="E238" s="6">
        <v>1376465426</v>
      </c>
      <c r="F238" s="3" t="s">
        <v>82</v>
      </c>
      <c r="G238" s="64">
        <v>11</v>
      </c>
      <c r="H238" s="3" t="s">
        <v>417</v>
      </c>
      <c r="I238" s="41"/>
      <c r="J238" s="63" t="s">
        <v>75</v>
      </c>
      <c r="K238" s="58" t="s">
        <v>214</v>
      </c>
      <c r="L238" s="76">
        <v>0</v>
      </c>
      <c r="M238" s="81">
        <v>0</v>
      </c>
      <c r="N238" s="81">
        <f>(Tabela1[[#This Row],[SIMULADO 2 NOTA]]-Tabela1[[#This Row],[SIMULADO 1 - NOTA]])</f>
        <v>0</v>
      </c>
      <c r="O238" s="53"/>
      <c r="P238" s="53"/>
      <c r="Q238" s="53"/>
      <c r="R238" s="53"/>
      <c r="S238" s="53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34"/>
      <c r="BP238" s="22"/>
    </row>
    <row r="239" spans="1:68" s="3" customFormat="1" ht="25.5" customHeight="1">
      <c r="A239" s="22" t="s">
        <v>69</v>
      </c>
      <c r="B239" s="3">
        <v>34554301</v>
      </c>
      <c r="C239" s="3" t="s">
        <v>70</v>
      </c>
      <c r="D239" s="3" t="s">
        <v>71</v>
      </c>
      <c r="E239" s="6">
        <v>12173638408</v>
      </c>
      <c r="F239" s="3" t="s">
        <v>91</v>
      </c>
      <c r="G239" s="64">
        <v>7</v>
      </c>
      <c r="H239" s="3" t="s">
        <v>418</v>
      </c>
      <c r="I239" s="41"/>
      <c r="J239" s="63" t="s">
        <v>77</v>
      </c>
      <c r="K239" s="57"/>
      <c r="L239" s="76">
        <v>0</v>
      </c>
      <c r="M239" s="81">
        <v>39</v>
      </c>
      <c r="N239" s="79">
        <f>(Tabela1[[#This Row],[SIMULADO 2 NOTA]]-Tabela1[[#This Row],[SIMULADO 1 - NOTA]])</f>
        <v>39</v>
      </c>
      <c r="O239" s="69"/>
      <c r="P239" s="69"/>
      <c r="Q239" s="69"/>
      <c r="R239" s="69"/>
      <c r="S239" s="69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34"/>
      <c r="BP239" s="22"/>
    </row>
    <row r="240" spans="1:68" s="3" customFormat="1" ht="25.5" customHeight="1">
      <c r="A240" s="22" t="s">
        <v>69</v>
      </c>
      <c r="B240" s="3">
        <v>25493141</v>
      </c>
      <c r="C240" s="3" t="s">
        <v>70</v>
      </c>
      <c r="D240" s="3" t="s">
        <v>71</v>
      </c>
      <c r="E240" s="6">
        <v>7246083464</v>
      </c>
      <c r="F240" s="3" t="s">
        <v>82</v>
      </c>
      <c r="G240" s="64">
        <v>11</v>
      </c>
      <c r="H240" s="18" t="s">
        <v>419</v>
      </c>
      <c r="I240" s="43" t="s">
        <v>84</v>
      </c>
      <c r="J240" s="63" t="s">
        <v>77</v>
      </c>
      <c r="K240" s="58" t="s">
        <v>294</v>
      </c>
      <c r="L240" s="75">
        <v>47</v>
      </c>
      <c r="M240" s="82">
        <v>44</v>
      </c>
      <c r="N240" s="84">
        <f>(Tabela1[[#This Row],[SIMULADO 2 NOTA]]-Tabela1[[#This Row],[SIMULADO 1 - NOTA]])</f>
        <v>-3</v>
      </c>
      <c r="O240" s="78"/>
      <c r="P240" s="78"/>
      <c r="Q240" s="78"/>
      <c r="R240" s="78"/>
      <c r="S240" s="78"/>
      <c r="T240" s="68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34"/>
      <c r="BP240" s="22"/>
    </row>
    <row r="241" spans="1:68" s="3" customFormat="1" ht="25.5" hidden="1" customHeight="1">
      <c r="A241" s="22" t="s">
        <v>69</v>
      </c>
      <c r="B241" s="3">
        <v>34675540</v>
      </c>
      <c r="C241" s="3" t="s">
        <v>70</v>
      </c>
      <c r="D241" s="3" t="s">
        <v>71</v>
      </c>
      <c r="E241" s="6">
        <v>70426326482</v>
      </c>
      <c r="F241" s="3" t="s">
        <v>82</v>
      </c>
      <c r="G241" s="64">
        <v>7</v>
      </c>
      <c r="H241" s="5" t="s">
        <v>420</v>
      </c>
      <c r="I241" s="44"/>
      <c r="J241" s="63" t="s">
        <v>77</v>
      </c>
      <c r="K241" s="57"/>
      <c r="L241" s="76">
        <v>0</v>
      </c>
      <c r="M241" s="81">
        <v>0</v>
      </c>
      <c r="N241" s="81">
        <f>(Tabela1[[#This Row],[SIMULADO 2 NOTA]]-Tabela1[[#This Row],[SIMULADO 1 - NOTA]])</f>
        <v>0</v>
      </c>
      <c r="O241" s="70"/>
      <c r="P241" s="70"/>
      <c r="Q241" s="70"/>
      <c r="R241" s="70"/>
      <c r="S241" s="70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34"/>
      <c r="BP241" s="22"/>
    </row>
    <row r="242" spans="1:68" s="3" customFormat="1" ht="25.5" customHeight="1">
      <c r="A242" s="22" t="s">
        <v>69</v>
      </c>
      <c r="B242" s="3">
        <v>30033748</v>
      </c>
      <c r="C242" s="3" t="s">
        <v>70</v>
      </c>
      <c r="D242" s="3" t="s">
        <v>71</v>
      </c>
      <c r="E242" s="6">
        <v>11965876471</v>
      </c>
      <c r="F242" s="3" t="s">
        <v>72</v>
      </c>
      <c r="G242" s="64">
        <v>9</v>
      </c>
      <c r="H242" s="18" t="s">
        <v>421</v>
      </c>
      <c r="I242" s="43" t="s">
        <v>84</v>
      </c>
      <c r="J242" s="63" t="s">
        <v>75</v>
      </c>
      <c r="K242" s="58" t="s">
        <v>81</v>
      </c>
      <c r="L242" s="75">
        <v>37</v>
      </c>
      <c r="M242" s="81">
        <v>29</v>
      </c>
      <c r="N242" s="84">
        <f>(Tabela1[[#This Row],[SIMULADO 2 NOTA]]-Tabela1[[#This Row],[SIMULADO 1 - NOTA]])</f>
        <v>-8</v>
      </c>
      <c r="O242" s="52"/>
      <c r="P242" s="52"/>
      <c r="Q242" s="52"/>
      <c r="R242" s="52"/>
      <c r="S242" s="52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34"/>
      <c r="BP242" s="22"/>
    </row>
    <row r="243" spans="1:68" s="3" customFormat="1" ht="25.5" customHeight="1">
      <c r="A243" s="22" t="s">
        <v>69</v>
      </c>
      <c r="B243" s="3">
        <v>28942035</v>
      </c>
      <c r="C243" s="3" t="s">
        <v>70</v>
      </c>
      <c r="D243" s="3" t="s">
        <v>71</v>
      </c>
      <c r="E243" s="6">
        <v>8842986470</v>
      </c>
      <c r="F243" s="3" t="s">
        <v>82</v>
      </c>
      <c r="G243" s="64">
        <v>9</v>
      </c>
      <c r="H243" s="15" t="s">
        <v>422</v>
      </c>
      <c r="I243" s="40" t="s">
        <v>74</v>
      </c>
      <c r="J243" s="63" t="s">
        <v>75</v>
      </c>
      <c r="K243" s="58" t="s">
        <v>89</v>
      </c>
      <c r="L243" s="75">
        <v>55</v>
      </c>
      <c r="M243" s="81">
        <v>46</v>
      </c>
      <c r="N243" s="84">
        <f>(Tabela1[[#This Row],[SIMULADO 2 NOTA]]-Tabela1[[#This Row],[SIMULADO 1 - NOTA]])</f>
        <v>-9</v>
      </c>
      <c r="O243" s="54"/>
      <c r="P243" s="54"/>
      <c r="Q243" s="54"/>
      <c r="R243" s="54"/>
      <c r="S243" s="54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34"/>
      <c r="BP243" s="22"/>
    </row>
    <row r="244" spans="1:68" s="3" customFormat="1" ht="25.5" customHeight="1">
      <c r="A244" s="22" t="s">
        <v>69</v>
      </c>
      <c r="B244" s="3">
        <v>29226899</v>
      </c>
      <c r="C244" s="3" t="s">
        <v>70</v>
      </c>
      <c r="D244" s="3" t="s">
        <v>71</v>
      </c>
      <c r="E244" s="6">
        <v>6719468464</v>
      </c>
      <c r="F244" s="3" t="s">
        <v>72</v>
      </c>
      <c r="G244" s="64">
        <v>11</v>
      </c>
      <c r="H244" s="18" t="s">
        <v>423</v>
      </c>
      <c r="I244" s="43" t="s">
        <v>84</v>
      </c>
      <c r="J244" s="63" t="s">
        <v>77</v>
      </c>
      <c r="K244" s="58" t="s">
        <v>424</v>
      </c>
      <c r="L244" s="75">
        <v>34</v>
      </c>
      <c r="M244" s="82">
        <v>28</v>
      </c>
      <c r="N244" s="84">
        <f>(Tabela1[[#This Row],[SIMULADO 2 NOTA]]-Tabela1[[#This Row],[SIMULADO 1 - NOTA]])</f>
        <v>-6</v>
      </c>
      <c r="O244" s="78"/>
      <c r="P244" s="78"/>
      <c r="Q244" s="78"/>
      <c r="R244" s="78"/>
      <c r="S244" s="78"/>
      <c r="T244" s="68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34"/>
      <c r="BP244" s="22"/>
    </row>
    <row r="245" spans="1:68" s="3" customFormat="1" ht="25.5" customHeight="1">
      <c r="A245" s="22" t="s">
        <v>69</v>
      </c>
      <c r="B245" s="3">
        <v>30092345</v>
      </c>
      <c r="C245" s="3" t="s">
        <v>70</v>
      </c>
      <c r="D245" s="3" t="s">
        <v>71</v>
      </c>
      <c r="E245" s="6">
        <v>4614723411</v>
      </c>
      <c r="F245" s="3" t="s">
        <v>72</v>
      </c>
      <c r="G245" s="64">
        <v>11</v>
      </c>
      <c r="H245" s="3" t="s">
        <v>425</v>
      </c>
      <c r="I245" s="41"/>
      <c r="J245" s="63" t="s">
        <v>77</v>
      </c>
      <c r="K245" s="58" t="s">
        <v>426</v>
      </c>
      <c r="L245" s="75">
        <v>68</v>
      </c>
      <c r="M245" s="82">
        <v>64</v>
      </c>
      <c r="N245" s="84">
        <f>(Tabela1[[#This Row],[SIMULADO 2 NOTA]]-Tabela1[[#This Row],[SIMULADO 1 - NOTA]])</f>
        <v>-4</v>
      </c>
      <c r="O245" s="78"/>
      <c r="P245" s="78"/>
      <c r="Q245" s="78"/>
      <c r="R245" s="78"/>
      <c r="S245" s="78"/>
      <c r="T245" s="68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34"/>
      <c r="BP245" s="22"/>
    </row>
    <row r="246" spans="1:68" s="3" customFormat="1" ht="25.5" hidden="1" customHeight="1">
      <c r="A246" s="22" t="s">
        <v>69</v>
      </c>
      <c r="B246" s="3">
        <v>33950113</v>
      </c>
      <c r="C246" s="3" t="s">
        <v>70</v>
      </c>
      <c r="D246" s="3" t="s">
        <v>71</v>
      </c>
      <c r="E246" s="6">
        <v>5542689493</v>
      </c>
      <c r="F246" s="3" t="s">
        <v>82</v>
      </c>
      <c r="G246" s="64">
        <v>9</v>
      </c>
      <c r="H246" s="3" t="s">
        <v>427</v>
      </c>
      <c r="I246" s="41"/>
      <c r="J246" s="63" t="s">
        <v>75</v>
      </c>
      <c r="K246" s="58" t="s">
        <v>428</v>
      </c>
      <c r="L246" s="75">
        <v>71</v>
      </c>
      <c r="M246" s="81">
        <v>0</v>
      </c>
      <c r="N246" s="84">
        <f>(Tabela1[[#This Row],[SIMULADO 2 NOTA]]-Tabela1[[#This Row],[SIMULADO 1 - NOTA]])</f>
        <v>-71</v>
      </c>
      <c r="O246" s="72"/>
      <c r="P246" s="72"/>
      <c r="Q246" s="72"/>
      <c r="R246" s="72"/>
      <c r="S246" s="72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34"/>
      <c r="BP246" s="22"/>
    </row>
    <row r="247" spans="1:68" s="3" customFormat="1" ht="25.5" hidden="1" customHeight="1">
      <c r="A247" s="22" t="s">
        <v>69</v>
      </c>
      <c r="B247" s="3">
        <v>34097147</v>
      </c>
      <c r="C247" s="3" t="s">
        <v>70</v>
      </c>
      <c r="D247" s="3" t="s">
        <v>71</v>
      </c>
      <c r="E247" s="6">
        <v>10472876414</v>
      </c>
      <c r="F247" s="3" t="s">
        <v>91</v>
      </c>
      <c r="G247" s="64">
        <v>7</v>
      </c>
      <c r="H247" s="3" t="s">
        <v>429</v>
      </c>
      <c r="I247" s="41"/>
      <c r="J247" s="63" t="s">
        <v>77</v>
      </c>
      <c r="K247" s="57"/>
      <c r="L247" s="76">
        <v>0</v>
      </c>
      <c r="M247" s="81">
        <v>0</v>
      </c>
      <c r="N247" s="81">
        <f>(Tabela1[[#This Row],[SIMULADO 2 NOTA]]-Tabela1[[#This Row],[SIMULADO 1 - NOTA]])</f>
        <v>0</v>
      </c>
      <c r="O247" s="53"/>
      <c r="P247" s="53"/>
      <c r="Q247" s="53"/>
      <c r="R247" s="53"/>
      <c r="S247" s="53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34"/>
      <c r="BP247" s="22"/>
    </row>
    <row r="248" spans="1:68" s="3" customFormat="1" ht="25.5" hidden="1" customHeight="1">
      <c r="A248" s="22" t="s">
        <v>69</v>
      </c>
      <c r="B248" s="3">
        <v>34571019</v>
      </c>
      <c r="C248" s="3" t="s">
        <v>70</v>
      </c>
      <c r="D248" s="3" t="s">
        <v>71</v>
      </c>
      <c r="E248" s="6">
        <v>10232641455</v>
      </c>
      <c r="F248" s="3" t="s">
        <v>72</v>
      </c>
      <c r="G248" s="64">
        <v>7</v>
      </c>
      <c r="H248" s="3" t="s">
        <v>430</v>
      </c>
      <c r="I248" s="41"/>
      <c r="J248" s="63" t="s">
        <v>77</v>
      </c>
      <c r="K248" s="57"/>
      <c r="L248" s="76">
        <v>0</v>
      </c>
      <c r="M248" s="81">
        <v>0</v>
      </c>
      <c r="N248" s="81">
        <f>(Tabela1[[#This Row],[SIMULADO 2 NOTA]]-Tabela1[[#This Row],[SIMULADO 1 - NOTA]])</f>
        <v>0</v>
      </c>
      <c r="O248" s="69"/>
      <c r="P248" s="69"/>
      <c r="Q248" s="69"/>
      <c r="R248" s="69"/>
      <c r="S248" s="69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34"/>
      <c r="BP248" s="22"/>
    </row>
    <row r="249" spans="1:68" s="3" customFormat="1" ht="25.5" customHeight="1">
      <c r="A249" s="22" t="s">
        <v>69</v>
      </c>
      <c r="B249" s="3">
        <v>25489411</v>
      </c>
      <c r="C249" s="3" t="s">
        <v>70</v>
      </c>
      <c r="D249" s="3" t="s">
        <v>71</v>
      </c>
      <c r="E249" s="6">
        <v>11071827430</v>
      </c>
      <c r="F249" s="3" t="s">
        <v>72</v>
      </c>
      <c r="G249" s="64">
        <v>11</v>
      </c>
      <c r="H249" s="3" t="s">
        <v>431</v>
      </c>
      <c r="I249" s="41"/>
      <c r="J249" s="63" t="s">
        <v>77</v>
      </c>
      <c r="K249" s="58" t="s">
        <v>205</v>
      </c>
      <c r="L249" s="75">
        <v>73</v>
      </c>
      <c r="M249" s="82">
        <v>51</v>
      </c>
      <c r="N249" s="84">
        <f>(Tabela1[[#This Row],[SIMULADO 2 NOTA]]-Tabela1[[#This Row],[SIMULADO 1 - NOTA]])</f>
        <v>-22</v>
      </c>
      <c r="O249" s="78"/>
      <c r="P249" s="78"/>
      <c r="Q249" s="78"/>
      <c r="R249" s="78"/>
      <c r="S249" s="78"/>
      <c r="T249" s="68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34"/>
      <c r="BP249" s="22"/>
    </row>
    <row r="250" spans="1:68" s="3" customFormat="1" ht="25.5" customHeight="1">
      <c r="A250" s="22" t="s">
        <v>69</v>
      </c>
      <c r="B250" s="3">
        <v>33473447</v>
      </c>
      <c r="C250" s="3" t="s">
        <v>70</v>
      </c>
      <c r="D250" s="3" t="s">
        <v>71</v>
      </c>
      <c r="E250" s="6">
        <v>13659729418</v>
      </c>
      <c r="F250" s="3" t="s">
        <v>72</v>
      </c>
      <c r="G250" s="64">
        <v>7</v>
      </c>
      <c r="H250" s="3" t="s">
        <v>432</v>
      </c>
      <c r="I250" s="41"/>
      <c r="J250" s="63" t="s">
        <v>77</v>
      </c>
      <c r="K250" s="57"/>
      <c r="L250" s="76">
        <v>0</v>
      </c>
      <c r="M250" s="81">
        <v>28</v>
      </c>
      <c r="N250" s="79">
        <f>(Tabela1[[#This Row],[SIMULADO 2 NOTA]]-Tabela1[[#This Row],[SIMULADO 1 - NOTA]])</f>
        <v>28</v>
      </c>
      <c r="O250" s="70"/>
      <c r="P250" s="70"/>
      <c r="Q250" s="70"/>
      <c r="R250" s="70"/>
      <c r="S250" s="70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34"/>
      <c r="BP250" s="22"/>
    </row>
    <row r="251" spans="1:68" s="3" customFormat="1" ht="25.5" hidden="1" customHeight="1">
      <c r="A251" s="22" t="s">
        <v>69</v>
      </c>
      <c r="B251" s="11">
        <v>30096944</v>
      </c>
      <c r="C251" s="3" t="s">
        <v>70</v>
      </c>
      <c r="D251" s="5" t="s">
        <v>109</v>
      </c>
      <c r="E251" s="6"/>
      <c r="F251" s="11" t="s">
        <v>72</v>
      </c>
      <c r="G251" s="66">
        <v>11</v>
      </c>
      <c r="H251" s="11" t="s">
        <v>433</v>
      </c>
      <c r="I251" s="46"/>
      <c r="J251" s="63" t="s">
        <v>75</v>
      </c>
      <c r="K251" s="59"/>
      <c r="L251" s="76">
        <v>0</v>
      </c>
      <c r="M251" s="81">
        <v>0</v>
      </c>
      <c r="N251" s="81">
        <f>(Tabela1[[#This Row],[SIMULADO 2 NOTA]]-Tabela1[[#This Row],[SIMULADO 1 - NOTA]])</f>
        <v>0</v>
      </c>
      <c r="O251" s="53"/>
      <c r="P251" s="53"/>
      <c r="Q251" s="53"/>
      <c r="R251" s="53"/>
      <c r="S251" s="53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 t="s">
        <v>87</v>
      </c>
      <c r="BI251" s="7" t="s">
        <v>87</v>
      </c>
      <c r="BJ251" s="7"/>
      <c r="BK251" s="7"/>
      <c r="BL251" s="7" t="s">
        <v>87</v>
      </c>
      <c r="BM251" s="7" t="s">
        <v>87</v>
      </c>
      <c r="BN251" s="7"/>
      <c r="BO251" s="34"/>
      <c r="BP251" s="22"/>
    </row>
    <row r="252" spans="1:68" s="3" customFormat="1" ht="25.5" hidden="1" customHeight="1">
      <c r="A252" s="22" t="s">
        <v>69</v>
      </c>
      <c r="B252" s="5">
        <v>33880786</v>
      </c>
      <c r="C252" s="3" t="s">
        <v>70</v>
      </c>
      <c r="D252" s="3" t="s">
        <v>71</v>
      </c>
      <c r="E252" s="6">
        <v>3179911409</v>
      </c>
      <c r="F252" s="3" t="s">
        <v>78</v>
      </c>
      <c r="G252" s="64">
        <v>7</v>
      </c>
      <c r="H252" s="8" t="s">
        <v>434</v>
      </c>
      <c r="I252" s="42" t="s">
        <v>80</v>
      </c>
      <c r="J252" s="63" t="s">
        <v>77</v>
      </c>
      <c r="K252" s="58" t="s">
        <v>435</v>
      </c>
      <c r="L252" s="76">
        <v>0</v>
      </c>
      <c r="M252" s="81">
        <v>0</v>
      </c>
      <c r="N252" s="81">
        <f>(Tabela1[[#This Row],[SIMULADO 2 NOTA]]-Tabela1[[#This Row],[SIMULADO 1 - NOTA]])</f>
        <v>0</v>
      </c>
      <c r="O252" s="53"/>
      <c r="P252" s="53"/>
      <c r="Q252" s="53"/>
      <c r="R252" s="53"/>
      <c r="S252" s="53"/>
      <c r="T252" s="7"/>
      <c r="U252" s="7"/>
      <c r="V252" s="7"/>
      <c r="W252" s="7"/>
      <c r="X252" s="7">
        <v>4.5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34"/>
      <c r="BP252" s="22"/>
    </row>
    <row r="253" spans="1:68" s="3" customFormat="1" ht="25.5" customHeight="1">
      <c r="A253" s="22" t="s">
        <v>69</v>
      </c>
      <c r="B253" s="5">
        <v>32821948</v>
      </c>
      <c r="C253" s="3" t="s">
        <v>70</v>
      </c>
      <c r="D253" s="3" t="s">
        <v>71</v>
      </c>
      <c r="E253" s="6">
        <v>6348023133</v>
      </c>
      <c r="F253" s="3" t="s">
        <v>78</v>
      </c>
      <c r="G253" s="64">
        <v>7</v>
      </c>
      <c r="H253" s="3" t="s">
        <v>436</v>
      </c>
      <c r="I253" s="41"/>
      <c r="J253" s="63" t="s">
        <v>77</v>
      </c>
      <c r="K253" s="57"/>
      <c r="L253" s="76">
        <v>0</v>
      </c>
      <c r="M253" s="81">
        <v>65</v>
      </c>
      <c r="N253" s="79">
        <f>(Tabela1[[#This Row],[SIMULADO 2 NOTA]]-Tabela1[[#This Row],[SIMULADO 1 - NOTA]])</f>
        <v>65</v>
      </c>
      <c r="O253" s="53"/>
      <c r="P253" s="53"/>
      <c r="Q253" s="53"/>
      <c r="R253" s="53"/>
      <c r="S253" s="53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34"/>
      <c r="BP253" s="22"/>
    </row>
    <row r="254" spans="1:68" s="3" customFormat="1" ht="25.5" customHeight="1">
      <c r="A254" s="22" t="s">
        <v>69</v>
      </c>
      <c r="B254" s="3">
        <v>28931203</v>
      </c>
      <c r="C254" s="3" t="s">
        <v>70</v>
      </c>
      <c r="D254" s="3" t="s">
        <v>71</v>
      </c>
      <c r="E254" s="6">
        <v>9861690484</v>
      </c>
      <c r="F254" s="3" t="s">
        <v>72</v>
      </c>
      <c r="G254" s="64">
        <v>9</v>
      </c>
      <c r="H254" s="3" t="s">
        <v>437</v>
      </c>
      <c r="I254" s="41"/>
      <c r="J254" s="63" t="s">
        <v>75</v>
      </c>
      <c r="K254" s="58" t="s">
        <v>438</v>
      </c>
      <c r="L254" s="76">
        <v>0</v>
      </c>
      <c r="M254" s="81">
        <v>34</v>
      </c>
      <c r="N254" s="79">
        <f>(Tabela1[[#This Row],[SIMULADO 2 NOTA]]-Tabela1[[#This Row],[SIMULADO 1 - NOTA]])</f>
        <v>34</v>
      </c>
      <c r="O254" s="53"/>
      <c r="P254" s="53"/>
      <c r="Q254" s="53"/>
      <c r="R254" s="53"/>
      <c r="S254" s="53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34"/>
      <c r="BP254" s="22"/>
    </row>
    <row r="255" spans="1:68" s="3" customFormat="1" ht="25.5" hidden="1" customHeight="1">
      <c r="A255" s="22" t="s">
        <v>69</v>
      </c>
      <c r="B255" s="3">
        <v>33331685</v>
      </c>
      <c r="C255" s="3" t="s">
        <v>70</v>
      </c>
      <c r="D255" s="3" t="s">
        <v>71</v>
      </c>
      <c r="E255" s="6">
        <v>8341523477</v>
      </c>
      <c r="F255" s="3" t="s">
        <v>91</v>
      </c>
      <c r="G255" s="64">
        <v>7</v>
      </c>
      <c r="H255" s="3" t="s">
        <v>439</v>
      </c>
      <c r="I255" s="41"/>
      <c r="J255" s="63" t="s">
        <v>77</v>
      </c>
      <c r="K255" s="57"/>
      <c r="L255" s="76">
        <v>0</v>
      </c>
      <c r="M255" s="81">
        <v>0</v>
      </c>
      <c r="N255" s="81">
        <f>(Tabela1[[#This Row],[SIMULADO 2 NOTA]]-Tabela1[[#This Row],[SIMULADO 1 - NOTA]])</f>
        <v>0</v>
      </c>
      <c r="O255" s="53"/>
      <c r="P255" s="53"/>
      <c r="Q255" s="53"/>
      <c r="R255" s="53"/>
      <c r="S255" s="53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34"/>
      <c r="BP255" s="22"/>
    </row>
    <row r="256" spans="1:68" s="3" customFormat="1" ht="25.5" customHeight="1">
      <c r="A256" s="22" t="s">
        <v>69</v>
      </c>
      <c r="B256" s="3">
        <v>33473935</v>
      </c>
      <c r="C256" s="3" t="s">
        <v>70</v>
      </c>
      <c r="D256" s="3" t="s">
        <v>71</v>
      </c>
      <c r="E256" s="6">
        <v>71163916498</v>
      </c>
      <c r="F256" s="3" t="s">
        <v>72</v>
      </c>
      <c r="G256" s="64">
        <v>7</v>
      </c>
      <c r="H256" s="3" t="s">
        <v>440</v>
      </c>
      <c r="I256" s="41"/>
      <c r="J256" s="63" t="s">
        <v>77</v>
      </c>
      <c r="K256" s="57"/>
      <c r="L256" s="76">
        <v>0</v>
      </c>
      <c r="M256" s="81">
        <v>37</v>
      </c>
      <c r="N256" s="79">
        <f>(Tabela1[[#This Row],[SIMULADO 2 NOTA]]-Tabela1[[#This Row],[SIMULADO 1 - NOTA]])</f>
        <v>37</v>
      </c>
      <c r="O256" s="69"/>
      <c r="P256" s="69"/>
      <c r="Q256" s="69"/>
      <c r="R256" s="69"/>
      <c r="S256" s="69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34"/>
      <c r="BP256" s="22"/>
    </row>
    <row r="257" spans="1:68" s="3" customFormat="1" ht="25.5" customHeight="1">
      <c r="A257" s="22" t="s">
        <v>69</v>
      </c>
      <c r="B257" s="3">
        <v>25581899</v>
      </c>
      <c r="C257" s="3" t="s">
        <v>70</v>
      </c>
      <c r="D257" s="3" t="s">
        <v>71</v>
      </c>
      <c r="E257" s="6">
        <v>13212830409</v>
      </c>
      <c r="F257" s="3" t="s">
        <v>82</v>
      </c>
      <c r="G257" s="64">
        <v>11</v>
      </c>
      <c r="H257" s="15" t="s">
        <v>441</v>
      </c>
      <c r="I257" s="40" t="s">
        <v>74</v>
      </c>
      <c r="J257" s="63" t="s">
        <v>77</v>
      </c>
      <c r="K257" s="58" t="s">
        <v>442</v>
      </c>
      <c r="L257" s="75">
        <v>57</v>
      </c>
      <c r="M257" s="82">
        <v>41</v>
      </c>
      <c r="N257" s="84">
        <f>(Tabela1[[#This Row],[SIMULADO 2 NOTA]]-Tabela1[[#This Row],[SIMULADO 1 - NOTA]])</f>
        <v>-16</v>
      </c>
      <c r="O257" s="78"/>
      <c r="P257" s="78"/>
      <c r="Q257" s="78"/>
      <c r="R257" s="78"/>
      <c r="S257" s="78"/>
      <c r="T257" s="68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34"/>
      <c r="BP257" s="22"/>
    </row>
    <row r="258" spans="1:68" s="3" customFormat="1" ht="25.5" hidden="1" customHeight="1">
      <c r="A258" s="22" t="s">
        <v>69</v>
      </c>
      <c r="B258" s="3">
        <v>29602076</v>
      </c>
      <c r="C258" s="3" t="s">
        <v>70</v>
      </c>
      <c r="D258" s="3" t="s">
        <v>71</v>
      </c>
      <c r="E258" s="6">
        <v>18849072708</v>
      </c>
      <c r="F258" s="3" t="s">
        <v>78</v>
      </c>
      <c r="G258" s="64">
        <v>9</v>
      </c>
      <c r="H258" s="18" t="s">
        <v>443</v>
      </c>
      <c r="I258" s="43" t="s">
        <v>84</v>
      </c>
      <c r="J258" s="63" t="s">
        <v>75</v>
      </c>
      <c r="K258" s="58" t="s">
        <v>444</v>
      </c>
      <c r="L258" s="75">
        <v>37</v>
      </c>
      <c r="M258" s="81">
        <v>0</v>
      </c>
      <c r="N258" s="84">
        <f>(Tabela1[[#This Row],[SIMULADO 2 NOTA]]-Tabela1[[#This Row],[SIMULADO 1 - NOTA]])</f>
        <v>-37</v>
      </c>
      <c r="O258" s="72"/>
      <c r="P258" s="72"/>
      <c r="Q258" s="72"/>
      <c r="R258" s="72"/>
      <c r="S258" s="72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34"/>
      <c r="BP258" s="22"/>
    </row>
    <row r="259" spans="1:68" s="3" customFormat="1" ht="25.5" customHeight="1">
      <c r="A259" s="22" t="s">
        <v>69</v>
      </c>
      <c r="B259" s="3">
        <v>33481601</v>
      </c>
      <c r="C259" s="3" t="s">
        <v>70</v>
      </c>
      <c r="D259" s="3" t="s">
        <v>71</v>
      </c>
      <c r="E259" s="6">
        <v>11949043436</v>
      </c>
      <c r="F259" s="3" t="s">
        <v>91</v>
      </c>
      <c r="G259" s="64">
        <v>7</v>
      </c>
      <c r="H259" s="3" t="s">
        <v>445</v>
      </c>
      <c r="I259" s="41"/>
      <c r="J259" s="63" t="s">
        <v>77</v>
      </c>
      <c r="K259" s="57"/>
      <c r="L259" s="76">
        <v>0</v>
      </c>
      <c r="M259" s="81">
        <v>27</v>
      </c>
      <c r="N259" s="79">
        <f>(Tabela1[[#This Row],[SIMULADO 2 NOTA]]-Tabela1[[#This Row],[SIMULADO 1 - NOTA]])</f>
        <v>27</v>
      </c>
      <c r="O259" s="69"/>
      <c r="P259" s="69"/>
      <c r="Q259" s="69"/>
      <c r="R259" s="69"/>
      <c r="S259" s="69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34"/>
      <c r="BP259" s="22"/>
    </row>
    <row r="260" spans="1:68" s="3" customFormat="1" ht="25.5" customHeight="1">
      <c r="A260" s="22" t="s">
        <v>69</v>
      </c>
      <c r="B260" s="3">
        <v>26401550</v>
      </c>
      <c r="C260" s="3" t="s">
        <v>70</v>
      </c>
      <c r="D260" s="3" t="s">
        <v>71</v>
      </c>
      <c r="E260" s="6">
        <v>8734829482</v>
      </c>
      <c r="F260" s="3" t="s">
        <v>72</v>
      </c>
      <c r="G260" s="64">
        <v>11</v>
      </c>
      <c r="H260" s="15" t="s">
        <v>446</v>
      </c>
      <c r="I260" s="40" t="s">
        <v>74</v>
      </c>
      <c r="J260" s="63" t="s">
        <v>77</v>
      </c>
      <c r="K260" s="58" t="s">
        <v>296</v>
      </c>
      <c r="L260" s="75">
        <v>53</v>
      </c>
      <c r="M260" s="82">
        <v>41</v>
      </c>
      <c r="N260" s="84">
        <f>(Tabela1[[#This Row],[SIMULADO 2 NOTA]]-Tabela1[[#This Row],[SIMULADO 1 - NOTA]])</f>
        <v>-12</v>
      </c>
      <c r="O260" s="78"/>
      <c r="P260" s="78"/>
      <c r="Q260" s="78"/>
      <c r="R260" s="78"/>
      <c r="S260" s="78"/>
      <c r="T260" s="68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34"/>
      <c r="BP260" s="22"/>
    </row>
    <row r="261" spans="1:68" s="3" customFormat="1" ht="25.5" customHeight="1">
      <c r="A261" s="22" t="s">
        <v>69</v>
      </c>
      <c r="B261" s="3">
        <v>33687676</v>
      </c>
      <c r="C261" s="3" t="s">
        <v>70</v>
      </c>
      <c r="D261" s="3" t="s">
        <v>71</v>
      </c>
      <c r="E261" s="6">
        <v>12903179417</v>
      </c>
      <c r="F261" s="3" t="s">
        <v>91</v>
      </c>
      <c r="G261" s="64">
        <v>7</v>
      </c>
      <c r="H261" s="3" t="s">
        <v>447</v>
      </c>
      <c r="I261" s="41"/>
      <c r="J261" s="63" t="s">
        <v>77</v>
      </c>
      <c r="K261" s="57"/>
      <c r="L261" s="76">
        <v>0</v>
      </c>
      <c r="M261" s="81">
        <v>34</v>
      </c>
      <c r="N261" s="79">
        <f>(Tabela1[[#This Row],[SIMULADO 2 NOTA]]-Tabela1[[#This Row],[SIMULADO 1 - NOTA]])</f>
        <v>34</v>
      </c>
      <c r="O261" s="70"/>
      <c r="P261" s="70"/>
      <c r="Q261" s="70"/>
      <c r="R261" s="70"/>
      <c r="S261" s="70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34"/>
      <c r="BP261" s="22"/>
    </row>
    <row r="262" spans="1:68" s="3" customFormat="1" ht="25.5" hidden="1" customHeight="1">
      <c r="A262" s="22" t="s">
        <v>69</v>
      </c>
      <c r="B262" s="3">
        <v>32679041</v>
      </c>
      <c r="C262" s="3" t="s">
        <v>70</v>
      </c>
      <c r="D262" s="3" t="s">
        <v>71</v>
      </c>
      <c r="E262" s="6">
        <v>4824310407</v>
      </c>
      <c r="F262" s="3" t="s">
        <v>82</v>
      </c>
      <c r="G262" s="64">
        <v>7</v>
      </c>
      <c r="H262" s="8" t="s">
        <v>448</v>
      </c>
      <c r="I262" s="42" t="s">
        <v>80</v>
      </c>
      <c r="J262" s="63" t="s">
        <v>77</v>
      </c>
      <c r="K262" s="58" t="s">
        <v>368</v>
      </c>
      <c r="L262" s="76">
        <v>0</v>
      </c>
      <c r="M262" s="81">
        <v>0</v>
      </c>
      <c r="N262" s="81">
        <f>(Tabela1[[#This Row],[SIMULADO 2 NOTA]]-Tabela1[[#This Row],[SIMULADO 1 - NOTA]])</f>
        <v>0</v>
      </c>
      <c r="O262" s="69"/>
      <c r="P262" s="69"/>
      <c r="Q262" s="69"/>
      <c r="R262" s="69"/>
      <c r="S262" s="69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>
        <v>3</v>
      </c>
      <c r="AF262" s="7"/>
      <c r="AG262" s="7">
        <v>5</v>
      </c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34"/>
      <c r="BP262" s="22"/>
    </row>
    <row r="263" spans="1:68" s="3" customFormat="1" ht="25.5" customHeight="1">
      <c r="A263" s="22" t="s">
        <v>69</v>
      </c>
      <c r="B263" s="3">
        <v>26419769</v>
      </c>
      <c r="C263" s="3" t="s">
        <v>70</v>
      </c>
      <c r="D263" s="3" t="s">
        <v>71</v>
      </c>
      <c r="E263" s="6">
        <v>71701910403</v>
      </c>
      <c r="F263" s="3" t="s">
        <v>82</v>
      </c>
      <c r="G263" s="64">
        <v>11</v>
      </c>
      <c r="H263" s="3" t="s">
        <v>449</v>
      </c>
      <c r="I263" s="41"/>
      <c r="J263" s="63" t="s">
        <v>77</v>
      </c>
      <c r="K263" s="58" t="s">
        <v>249</v>
      </c>
      <c r="L263" s="75">
        <v>81</v>
      </c>
      <c r="M263" s="82">
        <v>71</v>
      </c>
      <c r="N263" s="84">
        <f>(Tabela1[[#This Row],[SIMULADO 2 NOTA]]-Tabela1[[#This Row],[SIMULADO 1 - NOTA]])</f>
        <v>-10</v>
      </c>
      <c r="O263" s="78"/>
      <c r="P263" s="78"/>
      <c r="Q263" s="78"/>
      <c r="R263" s="78"/>
      <c r="S263" s="78"/>
      <c r="T263" s="68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34"/>
      <c r="BP263" s="22"/>
    </row>
    <row r="264" spans="1:68" s="3" customFormat="1" ht="25.5" customHeight="1">
      <c r="A264" s="22" t="s">
        <v>69</v>
      </c>
      <c r="B264" s="3">
        <v>27709124</v>
      </c>
      <c r="C264" s="3" t="s">
        <v>70</v>
      </c>
      <c r="D264" s="3" t="s">
        <v>71</v>
      </c>
      <c r="E264" s="6">
        <v>11445373475</v>
      </c>
      <c r="F264" s="3" t="s">
        <v>72</v>
      </c>
      <c r="G264" s="64">
        <v>11</v>
      </c>
      <c r="H264" s="15" t="s">
        <v>450</v>
      </c>
      <c r="I264" s="40" t="s">
        <v>74</v>
      </c>
      <c r="J264" s="63" t="s">
        <v>77</v>
      </c>
      <c r="K264" s="58" t="s">
        <v>451</v>
      </c>
      <c r="L264" s="75">
        <v>54</v>
      </c>
      <c r="M264" s="82">
        <v>40</v>
      </c>
      <c r="N264" s="84">
        <f>(Tabela1[[#This Row],[SIMULADO 2 NOTA]]-Tabela1[[#This Row],[SIMULADO 1 - NOTA]])</f>
        <v>-14</v>
      </c>
      <c r="O264" s="78"/>
      <c r="P264" s="78"/>
      <c r="Q264" s="78"/>
      <c r="R264" s="78"/>
      <c r="S264" s="78"/>
      <c r="T264" s="68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34"/>
      <c r="BP264" s="22"/>
    </row>
    <row r="265" spans="1:68" s="3" customFormat="1" ht="25.5" customHeight="1">
      <c r="A265" s="22" t="s">
        <v>69</v>
      </c>
      <c r="B265" s="3">
        <v>28989350</v>
      </c>
      <c r="C265" s="3" t="s">
        <v>70</v>
      </c>
      <c r="D265" s="3" t="s">
        <v>71</v>
      </c>
      <c r="E265" s="6">
        <v>70434500470</v>
      </c>
      <c r="F265" s="3" t="s">
        <v>91</v>
      </c>
      <c r="G265" s="64">
        <v>9</v>
      </c>
      <c r="H265" s="18" t="s">
        <v>452</v>
      </c>
      <c r="I265" s="43" t="s">
        <v>84</v>
      </c>
      <c r="J265" s="63" t="s">
        <v>75</v>
      </c>
      <c r="K265" s="58" t="s">
        <v>453</v>
      </c>
      <c r="L265" s="75">
        <v>43</v>
      </c>
      <c r="M265" s="81">
        <v>36</v>
      </c>
      <c r="N265" s="84">
        <f>(Tabela1[[#This Row],[SIMULADO 2 NOTA]]-Tabela1[[#This Row],[SIMULADO 1 - NOTA]])</f>
        <v>-7</v>
      </c>
      <c r="O265" s="72"/>
      <c r="P265" s="72"/>
      <c r="Q265" s="72"/>
      <c r="R265" s="72"/>
      <c r="S265" s="72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34"/>
      <c r="BP265" s="22"/>
    </row>
    <row r="266" spans="1:68" s="3" customFormat="1" ht="25.5" customHeight="1">
      <c r="A266" s="22" t="s">
        <v>69</v>
      </c>
      <c r="B266" s="3">
        <v>29590507</v>
      </c>
      <c r="C266" s="3" t="s">
        <v>70</v>
      </c>
      <c r="D266" s="3" t="s">
        <v>71</v>
      </c>
      <c r="E266" s="6">
        <v>9546312428</v>
      </c>
      <c r="F266" s="3" t="s">
        <v>78</v>
      </c>
      <c r="G266" s="64">
        <v>9</v>
      </c>
      <c r="H266" s="18" t="s">
        <v>454</v>
      </c>
      <c r="I266" s="43" t="s">
        <v>84</v>
      </c>
      <c r="J266" s="63" t="s">
        <v>75</v>
      </c>
      <c r="K266" s="58" t="s">
        <v>337</v>
      </c>
      <c r="L266" s="75">
        <v>49</v>
      </c>
      <c r="M266" s="81">
        <v>36</v>
      </c>
      <c r="N266" s="84">
        <f>(Tabela1[[#This Row],[SIMULADO 2 NOTA]]-Tabela1[[#This Row],[SIMULADO 1 - NOTA]])</f>
        <v>-13</v>
      </c>
      <c r="O266" s="54"/>
      <c r="P266" s="54"/>
      <c r="Q266" s="54"/>
      <c r="R266" s="54"/>
      <c r="S266" s="54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34"/>
      <c r="BP266" s="22"/>
    </row>
    <row r="267" spans="1:68" s="3" customFormat="1" ht="25.5" customHeight="1">
      <c r="A267" s="22" t="s">
        <v>69</v>
      </c>
      <c r="B267" s="3">
        <v>25110411</v>
      </c>
      <c r="C267" s="3" t="s">
        <v>70</v>
      </c>
      <c r="D267" s="3" t="s">
        <v>71</v>
      </c>
      <c r="E267" s="6">
        <v>10476568412</v>
      </c>
      <c r="F267" s="3" t="s">
        <v>72</v>
      </c>
      <c r="G267" s="64">
        <v>11</v>
      </c>
      <c r="H267" s="18" t="s">
        <v>455</v>
      </c>
      <c r="I267" s="43" t="s">
        <v>84</v>
      </c>
      <c r="J267" s="63" t="s">
        <v>77</v>
      </c>
      <c r="K267" s="58" t="s">
        <v>456</v>
      </c>
      <c r="L267" s="75">
        <v>44</v>
      </c>
      <c r="M267" s="82">
        <v>40</v>
      </c>
      <c r="N267" s="84">
        <f>(Tabela1[[#This Row],[SIMULADO 2 NOTA]]-Tabela1[[#This Row],[SIMULADO 1 - NOTA]])</f>
        <v>-4</v>
      </c>
      <c r="O267" s="78"/>
      <c r="P267" s="78"/>
      <c r="Q267" s="78"/>
      <c r="R267" s="78"/>
      <c r="S267" s="78"/>
      <c r="T267" s="68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34"/>
      <c r="BP267" s="22"/>
    </row>
    <row r="268" spans="1:68" s="3" customFormat="1" ht="25.5" customHeight="1">
      <c r="A268" s="22" t="s">
        <v>69</v>
      </c>
      <c r="B268" s="3">
        <v>28988591</v>
      </c>
      <c r="C268" s="3" t="s">
        <v>70</v>
      </c>
      <c r="D268" s="3" t="s">
        <v>71</v>
      </c>
      <c r="E268" s="6">
        <v>12685486429</v>
      </c>
      <c r="F268" s="3" t="s">
        <v>72</v>
      </c>
      <c r="G268" s="64">
        <v>9</v>
      </c>
      <c r="H268" s="18" t="s">
        <v>457</v>
      </c>
      <c r="I268" s="43" t="s">
        <v>84</v>
      </c>
      <c r="J268" s="63" t="s">
        <v>75</v>
      </c>
      <c r="K268" s="58" t="s">
        <v>189</v>
      </c>
      <c r="L268" s="75">
        <v>34</v>
      </c>
      <c r="M268" s="81">
        <v>36</v>
      </c>
      <c r="N268" s="79">
        <f>(Tabela1[[#This Row],[SIMULADO 2 NOTA]]-Tabela1[[#This Row],[SIMULADO 1 - NOTA]])</f>
        <v>2</v>
      </c>
      <c r="O268" s="72"/>
      <c r="P268" s="72"/>
      <c r="Q268" s="72"/>
      <c r="R268" s="72"/>
      <c r="S268" s="72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34"/>
      <c r="BP268" s="22"/>
    </row>
    <row r="269" spans="1:68" s="3" customFormat="1" ht="25.5" hidden="1" customHeight="1">
      <c r="A269" s="22" t="s">
        <v>69</v>
      </c>
      <c r="B269" s="3">
        <v>33290661</v>
      </c>
      <c r="C269" s="3" t="s">
        <v>70</v>
      </c>
      <c r="D269" s="3" t="s">
        <v>71</v>
      </c>
      <c r="E269" s="6">
        <v>6977313323</v>
      </c>
      <c r="F269" s="3" t="s">
        <v>72</v>
      </c>
      <c r="G269" s="64">
        <v>7</v>
      </c>
      <c r="H269" s="3" t="s">
        <v>458</v>
      </c>
      <c r="I269" s="41"/>
      <c r="J269" s="63" t="s">
        <v>77</v>
      </c>
      <c r="K269" s="57"/>
      <c r="L269" s="76">
        <v>0</v>
      </c>
      <c r="M269" s="81">
        <v>0</v>
      </c>
      <c r="N269" s="81">
        <f>(Tabela1[[#This Row],[SIMULADO 2 NOTA]]-Tabela1[[#This Row],[SIMULADO 1 - NOTA]])</f>
        <v>0</v>
      </c>
      <c r="O269" s="53"/>
      <c r="P269" s="53"/>
      <c r="Q269" s="53"/>
      <c r="R269" s="53"/>
      <c r="S269" s="53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34"/>
      <c r="BP269" s="22"/>
    </row>
    <row r="270" spans="1:68" s="3" customFormat="1" ht="25.5" customHeight="1">
      <c r="A270" s="22" t="s">
        <v>69</v>
      </c>
      <c r="B270" s="3">
        <v>29020816</v>
      </c>
      <c r="C270" s="3" t="s">
        <v>70</v>
      </c>
      <c r="D270" s="3" t="s">
        <v>71</v>
      </c>
      <c r="E270" s="6">
        <v>15456798433</v>
      </c>
      <c r="F270" s="3" t="s">
        <v>82</v>
      </c>
      <c r="G270" s="64">
        <v>9</v>
      </c>
      <c r="H270" s="15" t="s">
        <v>459</v>
      </c>
      <c r="I270" s="40" t="s">
        <v>74</v>
      </c>
      <c r="J270" s="63" t="s">
        <v>75</v>
      </c>
      <c r="K270" s="58" t="s">
        <v>240</v>
      </c>
      <c r="L270" s="75">
        <v>50</v>
      </c>
      <c r="M270" s="81">
        <v>42</v>
      </c>
      <c r="N270" s="84">
        <f>(Tabela1[[#This Row],[SIMULADO 2 NOTA]]-Tabela1[[#This Row],[SIMULADO 1 - NOTA]])</f>
        <v>-8</v>
      </c>
      <c r="O270" s="52"/>
      <c r="P270" s="52"/>
      <c r="Q270" s="52"/>
      <c r="R270" s="52"/>
      <c r="S270" s="52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34"/>
      <c r="BP270" s="22"/>
    </row>
    <row r="271" spans="1:68" s="3" customFormat="1" ht="25.5" customHeight="1">
      <c r="A271" s="22" t="s">
        <v>69</v>
      </c>
      <c r="B271" s="11">
        <v>28964985</v>
      </c>
      <c r="C271" s="3" t="s">
        <v>70</v>
      </c>
      <c r="D271" s="5" t="s">
        <v>109</v>
      </c>
      <c r="E271" s="6"/>
      <c r="F271" s="11" t="s">
        <v>82</v>
      </c>
      <c r="G271" s="66">
        <v>9</v>
      </c>
      <c r="H271" s="12" t="s">
        <v>460</v>
      </c>
      <c r="I271" s="42" t="s">
        <v>80</v>
      </c>
      <c r="J271" s="63" t="s">
        <v>75</v>
      </c>
      <c r="K271" s="59"/>
      <c r="L271" s="76">
        <v>0</v>
      </c>
      <c r="M271" s="81">
        <v>63</v>
      </c>
      <c r="N271" s="79">
        <f>(Tabela1[[#This Row],[SIMULADO 2 NOTA]]-Tabela1[[#This Row],[SIMULADO 1 - NOTA]])</f>
        <v>63</v>
      </c>
      <c r="O271" s="53"/>
      <c r="P271" s="53"/>
      <c r="Q271" s="53"/>
      <c r="R271" s="53"/>
      <c r="S271" s="53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>
        <v>4.0999999999999996</v>
      </c>
      <c r="BG271" s="7"/>
      <c r="BH271" s="7"/>
      <c r="BI271" s="7"/>
      <c r="BJ271" s="7"/>
      <c r="BK271" s="7"/>
      <c r="BL271" s="7"/>
      <c r="BM271" s="7"/>
      <c r="BN271" s="7"/>
      <c r="BO271" s="34"/>
      <c r="BP271" s="22"/>
    </row>
    <row r="272" spans="1:68" s="3" customFormat="1" ht="25.5" customHeight="1">
      <c r="A272" s="22" t="s">
        <v>69</v>
      </c>
      <c r="B272" s="3">
        <v>30736994</v>
      </c>
      <c r="C272" s="3" t="s">
        <v>70</v>
      </c>
      <c r="D272" s="3" t="s">
        <v>71</v>
      </c>
      <c r="E272" s="6">
        <v>6903287370</v>
      </c>
      <c r="F272" s="3" t="s">
        <v>91</v>
      </c>
      <c r="G272" s="64">
        <v>9</v>
      </c>
      <c r="H272" s="18" t="s">
        <v>461</v>
      </c>
      <c r="I272" s="43" t="s">
        <v>84</v>
      </c>
      <c r="J272" s="63" t="s">
        <v>75</v>
      </c>
      <c r="K272" s="58" t="s">
        <v>104</v>
      </c>
      <c r="L272" s="75">
        <v>43</v>
      </c>
      <c r="M272" s="81">
        <v>33</v>
      </c>
      <c r="N272" s="84">
        <f>(Tabela1[[#This Row],[SIMULADO 2 NOTA]]-Tabela1[[#This Row],[SIMULADO 1 - NOTA]])</f>
        <v>-10</v>
      </c>
      <c r="O272" s="52"/>
      <c r="P272" s="52"/>
      <c r="Q272" s="52"/>
      <c r="R272" s="52"/>
      <c r="S272" s="52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34"/>
      <c r="BP272" s="22"/>
    </row>
    <row r="273" spans="1:68" s="3" customFormat="1" ht="25.5" customHeight="1">
      <c r="A273" s="22" t="s">
        <v>69</v>
      </c>
      <c r="B273" s="3">
        <v>28931611</v>
      </c>
      <c r="C273" s="3" t="s">
        <v>70</v>
      </c>
      <c r="D273" s="3" t="s">
        <v>71</v>
      </c>
      <c r="E273" s="6">
        <v>8558845417</v>
      </c>
      <c r="F273" s="3" t="s">
        <v>91</v>
      </c>
      <c r="G273" s="64">
        <v>9</v>
      </c>
      <c r="H273" s="15" t="s">
        <v>462</v>
      </c>
      <c r="I273" s="40" t="s">
        <v>74</v>
      </c>
      <c r="J273" s="63" t="s">
        <v>75</v>
      </c>
      <c r="K273" s="58" t="s">
        <v>410</v>
      </c>
      <c r="L273" s="75">
        <v>57</v>
      </c>
      <c r="M273" s="81">
        <v>52</v>
      </c>
      <c r="N273" s="84">
        <f>(Tabela1[[#This Row],[SIMULADO 2 NOTA]]-Tabela1[[#This Row],[SIMULADO 1 - NOTA]])</f>
        <v>-5</v>
      </c>
      <c r="O273" s="54"/>
      <c r="P273" s="54"/>
      <c r="Q273" s="54"/>
      <c r="R273" s="54"/>
      <c r="S273" s="54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34"/>
      <c r="BP273" s="22"/>
    </row>
    <row r="274" spans="1:68" s="3" customFormat="1" ht="25.5" customHeight="1">
      <c r="A274" s="22" t="s">
        <v>69</v>
      </c>
      <c r="B274" s="3">
        <v>25575848</v>
      </c>
      <c r="C274" s="3" t="s">
        <v>70</v>
      </c>
      <c r="D274" s="3" t="s">
        <v>71</v>
      </c>
      <c r="E274" s="6">
        <v>13571254457</v>
      </c>
      <c r="F274" s="3" t="s">
        <v>82</v>
      </c>
      <c r="G274" s="64">
        <v>11</v>
      </c>
      <c r="H274" s="18" t="s">
        <v>463</v>
      </c>
      <c r="I274" s="43" t="s">
        <v>84</v>
      </c>
      <c r="J274" s="63" t="s">
        <v>77</v>
      </c>
      <c r="K274" s="58" t="s">
        <v>464</v>
      </c>
      <c r="L274" s="75">
        <v>45</v>
      </c>
      <c r="M274" s="82">
        <v>36</v>
      </c>
      <c r="N274" s="84">
        <f>(Tabela1[[#This Row],[SIMULADO 2 NOTA]]-Tabela1[[#This Row],[SIMULADO 1 - NOTA]])</f>
        <v>-9</v>
      </c>
      <c r="O274" s="78"/>
      <c r="P274" s="78"/>
      <c r="Q274" s="78"/>
      <c r="R274" s="78"/>
      <c r="S274" s="78"/>
      <c r="T274" s="68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34"/>
      <c r="BP274" s="22"/>
    </row>
    <row r="275" spans="1:68" s="3" customFormat="1" ht="25.5" customHeight="1">
      <c r="A275" s="22" t="s">
        <v>69</v>
      </c>
      <c r="B275" s="3">
        <v>47856891</v>
      </c>
      <c r="C275" s="3" t="s">
        <v>70</v>
      </c>
      <c r="D275" s="3" t="s">
        <v>71</v>
      </c>
      <c r="E275" s="6">
        <v>5597953354</v>
      </c>
      <c r="F275" s="3" t="s">
        <v>72</v>
      </c>
      <c r="G275" s="64">
        <v>7</v>
      </c>
      <c r="H275" s="3" t="s">
        <v>465</v>
      </c>
      <c r="I275" s="41"/>
      <c r="J275" s="63" t="s">
        <v>77</v>
      </c>
      <c r="K275" s="57"/>
      <c r="L275" s="76">
        <v>0</v>
      </c>
      <c r="M275" s="81">
        <v>47</v>
      </c>
      <c r="N275" s="79">
        <f>(Tabela1[[#This Row],[SIMULADO 2 NOTA]]-Tabela1[[#This Row],[SIMULADO 1 - NOTA]])</f>
        <v>47</v>
      </c>
      <c r="O275" s="70"/>
      <c r="P275" s="70"/>
      <c r="Q275" s="70"/>
      <c r="R275" s="70"/>
      <c r="S275" s="70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34"/>
      <c r="BP275" s="22"/>
    </row>
    <row r="276" spans="1:68" s="3" customFormat="1" ht="25.5" hidden="1" customHeight="1">
      <c r="A276" s="22" t="s">
        <v>69</v>
      </c>
      <c r="B276" s="11">
        <v>28947215</v>
      </c>
      <c r="C276" s="3" t="s">
        <v>70</v>
      </c>
      <c r="D276" s="5" t="s">
        <v>109</v>
      </c>
      <c r="E276" s="6"/>
      <c r="F276" s="11" t="s">
        <v>72</v>
      </c>
      <c r="G276" s="66">
        <v>9</v>
      </c>
      <c r="H276" s="11" t="s">
        <v>466</v>
      </c>
      <c r="I276" s="46"/>
      <c r="J276" s="63" t="s">
        <v>75</v>
      </c>
      <c r="K276" s="59"/>
      <c r="L276" s="76">
        <v>0</v>
      </c>
      <c r="M276" s="81">
        <v>0</v>
      </c>
      <c r="N276" s="81">
        <f>(Tabela1[[#This Row],[SIMULADO 2 NOTA]]-Tabela1[[#This Row],[SIMULADO 1 - NOTA]])</f>
        <v>0</v>
      </c>
      <c r="O276" s="69"/>
      <c r="P276" s="69"/>
      <c r="Q276" s="69"/>
      <c r="R276" s="69"/>
      <c r="S276" s="69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34"/>
      <c r="BP276" s="22"/>
    </row>
    <row r="277" spans="1:68" s="3" customFormat="1" ht="25.5" customHeight="1">
      <c r="A277" s="22" t="s">
        <v>69</v>
      </c>
      <c r="B277" s="3">
        <v>25498746</v>
      </c>
      <c r="C277" s="3" t="s">
        <v>70</v>
      </c>
      <c r="D277" s="3" t="s">
        <v>71</v>
      </c>
      <c r="E277" s="6">
        <v>70546767427</v>
      </c>
      <c r="F277" s="3" t="s">
        <v>72</v>
      </c>
      <c r="G277" s="64">
        <v>11</v>
      </c>
      <c r="H277" s="3" t="s">
        <v>467</v>
      </c>
      <c r="I277" s="41"/>
      <c r="J277" s="63" t="s">
        <v>77</v>
      </c>
      <c r="K277" s="58" t="s">
        <v>468</v>
      </c>
      <c r="L277" s="75">
        <v>63</v>
      </c>
      <c r="M277" s="82">
        <v>61</v>
      </c>
      <c r="N277" s="84">
        <f>(Tabela1[[#This Row],[SIMULADO 2 NOTA]]-Tabela1[[#This Row],[SIMULADO 1 - NOTA]])</f>
        <v>-2</v>
      </c>
      <c r="O277" s="78"/>
      <c r="P277" s="78"/>
      <c r="Q277" s="78"/>
      <c r="R277" s="78"/>
      <c r="S277" s="78"/>
      <c r="T277" s="68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34"/>
      <c r="BP277" s="22"/>
    </row>
    <row r="278" spans="1:68" s="3" customFormat="1" ht="25.5" hidden="1" customHeight="1">
      <c r="A278" s="22" t="s">
        <v>69</v>
      </c>
      <c r="B278" s="3">
        <v>29020425</v>
      </c>
      <c r="C278" s="3" t="s">
        <v>70</v>
      </c>
      <c r="D278" s="3" t="s">
        <v>71</v>
      </c>
      <c r="E278" s="6">
        <v>10430271492</v>
      </c>
      <c r="F278" s="3" t="s">
        <v>72</v>
      </c>
      <c r="G278" s="64">
        <v>9</v>
      </c>
      <c r="H278" s="15" t="s">
        <v>469</v>
      </c>
      <c r="I278" s="40" t="s">
        <v>74</v>
      </c>
      <c r="J278" s="63" t="s">
        <v>75</v>
      </c>
      <c r="K278" s="58" t="s">
        <v>120</v>
      </c>
      <c r="L278" s="75">
        <v>51</v>
      </c>
      <c r="M278" s="81">
        <v>32</v>
      </c>
      <c r="N278" s="84">
        <f>(Tabela1[[#This Row],[SIMULADO 2 NOTA]]-Tabela1[[#This Row],[SIMULADO 1 - NOTA]])</f>
        <v>-19</v>
      </c>
      <c r="O278" s="72"/>
      <c r="P278" s="72"/>
      <c r="Q278" s="72"/>
      <c r="R278" s="72"/>
      <c r="S278" s="72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34"/>
      <c r="BP278" s="22"/>
    </row>
    <row r="279" spans="1:68" s="3" customFormat="1" ht="25.5" customHeight="1">
      <c r="A279" s="22" t="s">
        <v>69</v>
      </c>
      <c r="B279" s="3">
        <v>29899338</v>
      </c>
      <c r="C279" s="3" t="s">
        <v>70</v>
      </c>
      <c r="D279" s="3" t="s">
        <v>71</v>
      </c>
      <c r="E279" s="6">
        <v>9046132404</v>
      </c>
      <c r="F279" s="3" t="s">
        <v>82</v>
      </c>
      <c r="G279" s="64">
        <v>9</v>
      </c>
      <c r="H279" s="15" t="s">
        <v>470</v>
      </c>
      <c r="I279" s="40" t="s">
        <v>74</v>
      </c>
      <c r="J279" s="63" t="s">
        <v>75</v>
      </c>
      <c r="K279" s="58" t="s">
        <v>471</v>
      </c>
      <c r="L279" s="75">
        <v>54</v>
      </c>
      <c r="M279" s="81">
        <v>44</v>
      </c>
      <c r="N279" s="84">
        <f>(Tabela1[[#This Row],[SIMULADO 2 NOTA]]-Tabela1[[#This Row],[SIMULADO 1 - NOTA]])</f>
        <v>-10</v>
      </c>
      <c r="O279" s="52"/>
      <c r="P279" s="52"/>
      <c r="Q279" s="52"/>
      <c r="R279" s="52"/>
      <c r="S279" s="52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34"/>
      <c r="BP279" s="22"/>
    </row>
    <row r="280" spans="1:68" s="3" customFormat="1" ht="25.5" hidden="1" customHeight="1">
      <c r="A280" s="22" t="s">
        <v>69</v>
      </c>
      <c r="B280" s="3">
        <v>32821298</v>
      </c>
      <c r="C280" s="3" t="s">
        <v>70</v>
      </c>
      <c r="D280" s="3" t="s">
        <v>71</v>
      </c>
      <c r="E280" s="6">
        <v>70812814436</v>
      </c>
      <c r="F280" s="3" t="s">
        <v>91</v>
      </c>
      <c r="G280" s="64">
        <v>7</v>
      </c>
      <c r="H280" s="3" t="s">
        <v>472</v>
      </c>
      <c r="I280" s="41"/>
      <c r="J280" s="63" t="s">
        <v>77</v>
      </c>
      <c r="K280" s="57"/>
      <c r="L280" s="76">
        <v>0</v>
      </c>
      <c r="M280" s="81">
        <v>0</v>
      </c>
      <c r="N280" s="81">
        <f>(Tabela1[[#This Row],[SIMULADO 2 NOTA]]-Tabela1[[#This Row],[SIMULADO 1 - NOTA]])</f>
        <v>0</v>
      </c>
      <c r="O280" s="69"/>
      <c r="P280" s="69"/>
      <c r="Q280" s="69"/>
      <c r="R280" s="69"/>
      <c r="S280" s="69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34"/>
      <c r="BP280" s="22"/>
    </row>
    <row r="281" spans="1:68" s="3" customFormat="1" ht="25.5" customHeight="1">
      <c r="A281" s="22" t="s">
        <v>69</v>
      </c>
      <c r="B281" s="3">
        <v>26968657</v>
      </c>
      <c r="C281" s="3" t="s">
        <v>70</v>
      </c>
      <c r="D281" s="3" t="s">
        <v>71</v>
      </c>
      <c r="E281" s="6">
        <v>8951815412</v>
      </c>
      <c r="F281" s="3" t="s">
        <v>82</v>
      </c>
      <c r="G281" s="64">
        <v>11</v>
      </c>
      <c r="H281" s="18" t="s">
        <v>473</v>
      </c>
      <c r="I281" s="43" t="s">
        <v>84</v>
      </c>
      <c r="J281" s="63" t="s">
        <v>77</v>
      </c>
      <c r="K281" s="58" t="s">
        <v>474</v>
      </c>
      <c r="L281" s="75">
        <v>39</v>
      </c>
      <c r="M281" s="82">
        <v>37</v>
      </c>
      <c r="N281" s="84">
        <f>(Tabela1[[#This Row],[SIMULADO 2 NOTA]]-Tabela1[[#This Row],[SIMULADO 1 - NOTA]])</f>
        <v>-2</v>
      </c>
      <c r="O281" s="78"/>
      <c r="P281" s="78"/>
      <c r="Q281" s="78"/>
      <c r="R281" s="78"/>
      <c r="S281" s="78"/>
      <c r="T281" s="68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34"/>
      <c r="BP281" s="22"/>
    </row>
    <row r="282" spans="1:68" s="3" customFormat="1" ht="25.5" customHeight="1">
      <c r="A282" s="22" t="s">
        <v>69</v>
      </c>
      <c r="B282" s="5">
        <v>32690291</v>
      </c>
      <c r="C282" s="3" t="s">
        <v>70</v>
      </c>
      <c r="D282" s="3" t="s">
        <v>71</v>
      </c>
      <c r="E282" s="6">
        <v>5372670428</v>
      </c>
      <c r="F282" s="3" t="s">
        <v>78</v>
      </c>
      <c r="G282" s="64">
        <v>7</v>
      </c>
      <c r="H282" s="3" t="s">
        <v>475</v>
      </c>
      <c r="I282" s="41"/>
      <c r="J282" s="63" t="s">
        <v>77</v>
      </c>
      <c r="K282" s="57"/>
      <c r="L282" s="76">
        <v>0</v>
      </c>
      <c r="M282" s="81">
        <v>45</v>
      </c>
      <c r="N282" s="79">
        <f>(Tabela1[[#This Row],[SIMULADO 2 NOTA]]-Tabela1[[#This Row],[SIMULADO 1 - NOTA]])</f>
        <v>45</v>
      </c>
      <c r="O282" s="70"/>
      <c r="P282" s="70"/>
      <c r="Q282" s="70"/>
      <c r="R282" s="70"/>
      <c r="S282" s="70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34"/>
      <c r="BP282" s="22"/>
    </row>
    <row r="283" spans="1:68" s="3" customFormat="1" ht="25.5" customHeight="1">
      <c r="A283" s="22" t="s">
        <v>69</v>
      </c>
      <c r="B283" s="3">
        <v>35611979</v>
      </c>
      <c r="C283" s="3" t="s">
        <v>70</v>
      </c>
      <c r="D283" s="3" t="s">
        <v>71</v>
      </c>
      <c r="E283" s="6">
        <v>7164951470</v>
      </c>
      <c r="F283" s="3" t="s">
        <v>82</v>
      </c>
      <c r="G283" s="64">
        <v>9</v>
      </c>
      <c r="H283" s="15" t="s">
        <v>476</v>
      </c>
      <c r="I283" s="40" t="s">
        <v>74</v>
      </c>
      <c r="J283" s="63" t="s">
        <v>75</v>
      </c>
      <c r="K283" s="58" t="s">
        <v>237</v>
      </c>
      <c r="L283" s="75">
        <v>54</v>
      </c>
      <c r="M283" s="81">
        <v>55</v>
      </c>
      <c r="N283" s="79">
        <f>(Tabela1[[#This Row],[SIMULADO 2 NOTA]]-Tabela1[[#This Row],[SIMULADO 1 - NOTA]])</f>
        <v>1</v>
      </c>
      <c r="O283" s="52"/>
      <c r="P283" s="52"/>
      <c r="Q283" s="52"/>
      <c r="R283" s="52"/>
      <c r="S283" s="52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34"/>
      <c r="BP283" s="22"/>
    </row>
    <row r="284" spans="1:68" s="3" customFormat="1" ht="25.5" customHeight="1">
      <c r="A284" s="22" t="s">
        <v>69</v>
      </c>
      <c r="B284" s="5">
        <v>32668651</v>
      </c>
      <c r="C284" s="3" t="s">
        <v>70</v>
      </c>
      <c r="D284" s="3" t="s">
        <v>71</v>
      </c>
      <c r="E284" s="6">
        <v>8020622454</v>
      </c>
      <c r="F284" s="3" t="s">
        <v>78</v>
      </c>
      <c r="G284" s="64">
        <v>7</v>
      </c>
      <c r="H284" s="3" t="s">
        <v>477</v>
      </c>
      <c r="I284" s="41"/>
      <c r="J284" s="63" t="s">
        <v>77</v>
      </c>
      <c r="K284" s="57"/>
      <c r="L284" s="76">
        <v>0</v>
      </c>
      <c r="M284" s="81">
        <v>47</v>
      </c>
      <c r="N284" s="79">
        <f>(Tabela1[[#This Row],[SIMULADO 2 NOTA]]-Tabela1[[#This Row],[SIMULADO 1 - NOTA]])</f>
        <v>47</v>
      </c>
      <c r="O284" s="53"/>
      <c r="P284" s="53"/>
      <c r="Q284" s="53"/>
      <c r="R284" s="53"/>
      <c r="S284" s="53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34"/>
      <c r="BP284" s="22"/>
    </row>
    <row r="285" spans="1:68" s="3" customFormat="1" ht="25.5" customHeight="1">
      <c r="A285" s="22" t="s">
        <v>69</v>
      </c>
      <c r="B285" s="3">
        <v>29003911</v>
      </c>
      <c r="C285" s="3" t="s">
        <v>70</v>
      </c>
      <c r="D285" s="3" t="s">
        <v>71</v>
      </c>
      <c r="E285" s="6">
        <v>10497478447</v>
      </c>
      <c r="F285" s="3" t="s">
        <v>78</v>
      </c>
      <c r="G285" s="64">
        <v>9</v>
      </c>
      <c r="H285" s="3" t="s">
        <v>478</v>
      </c>
      <c r="I285" s="41"/>
      <c r="J285" s="63" t="s">
        <v>75</v>
      </c>
      <c r="K285" s="58" t="s">
        <v>377</v>
      </c>
      <c r="L285" s="75">
        <v>65</v>
      </c>
      <c r="M285" s="81">
        <v>64</v>
      </c>
      <c r="N285" s="79">
        <f>(Tabela1[[#This Row],[SIMULADO 2 NOTA]]-Tabela1[[#This Row],[SIMULADO 1 - NOTA]])</f>
        <v>-1</v>
      </c>
      <c r="O285" s="52"/>
      <c r="P285" s="52"/>
      <c r="Q285" s="52"/>
      <c r="R285" s="52"/>
      <c r="S285" s="52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34"/>
      <c r="BP285" s="22"/>
    </row>
    <row r="286" spans="1:68" s="3" customFormat="1" ht="25.5" customHeight="1">
      <c r="A286" s="22" t="s">
        <v>69</v>
      </c>
      <c r="B286" s="3">
        <v>39056449</v>
      </c>
      <c r="C286" s="3" t="s">
        <v>70</v>
      </c>
      <c r="D286" s="3" t="s">
        <v>71</v>
      </c>
      <c r="E286" s="6">
        <v>97845698415</v>
      </c>
      <c r="F286" s="3" t="s">
        <v>82</v>
      </c>
      <c r="G286" s="64">
        <v>7</v>
      </c>
      <c r="H286" s="8" t="s">
        <v>479</v>
      </c>
      <c r="I286" s="42" t="s">
        <v>80</v>
      </c>
      <c r="J286" s="63" t="s">
        <v>77</v>
      </c>
      <c r="K286" s="58" t="s">
        <v>127</v>
      </c>
      <c r="L286" s="76">
        <v>0</v>
      </c>
      <c r="M286" s="81">
        <v>38</v>
      </c>
      <c r="N286" s="79">
        <f>(Tabela1[[#This Row],[SIMULADO 2 NOTA]]-Tabela1[[#This Row],[SIMULADO 1 - NOTA]])</f>
        <v>38</v>
      </c>
      <c r="O286" s="53"/>
      <c r="P286" s="53"/>
      <c r="Q286" s="53"/>
      <c r="R286" s="53"/>
      <c r="S286" s="53"/>
      <c r="T286" s="7"/>
      <c r="U286" s="7"/>
      <c r="V286" s="7"/>
      <c r="W286" s="7"/>
      <c r="X286" s="7"/>
      <c r="Y286" s="7"/>
      <c r="Z286" s="7" t="s">
        <v>87</v>
      </c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34"/>
      <c r="BP286" s="22"/>
    </row>
    <row r="287" spans="1:68" s="3" customFormat="1" ht="25.5" customHeight="1">
      <c r="A287" s="22" t="s">
        <v>69</v>
      </c>
      <c r="B287" s="3">
        <v>32722460</v>
      </c>
      <c r="C287" s="3" t="s">
        <v>70</v>
      </c>
      <c r="D287" s="3" t="s">
        <v>71</v>
      </c>
      <c r="E287" s="6">
        <v>6287729473</v>
      </c>
      <c r="F287" s="3" t="s">
        <v>82</v>
      </c>
      <c r="G287" s="64">
        <v>7</v>
      </c>
      <c r="H287" s="3" t="s">
        <v>480</v>
      </c>
      <c r="I287" s="41"/>
      <c r="J287" s="63" t="s">
        <v>77</v>
      </c>
      <c r="K287" s="57"/>
      <c r="L287" s="76">
        <v>0</v>
      </c>
      <c r="M287" s="81">
        <v>37</v>
      </c>
      <c r="N287" s="79">
        <f>(Tabela1[[#This Row],[SIMULADO 2 NOTA]]-Tabela1[[#This Row],[SIMULADO 1 - NOTA]])</f>
        <v>37</v>
      </c>
      <c r="O287" s="53"/>
      <c r="P287" s="53"/>
      <c r="Q287" s="53"/>
      <c r="R287" s="53"/>
      <c r="S287" s="53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34"/>
      <c r="BP287" s="22"/>
    </row>
    <row r="288" spans="1:68" s="3" customFormat="1" ht="25.5" hidden="1" customHeight="1">
      <c r="A288" s="22" t="s">
        <v>69</v>
      </c>
      <c r="B288" s="3">
        <v>44521642</v>
      </c>
      <c r="C288" s="3" t="s">
        <v>70</v>
      </c>
      <c r="D288" s="3" t="s">
        <v>71</v>
      </c>
      <c r="E288" s="6">
        <v>70570694485</v>
      </c>
      <c r="F288" s="3" t="s">
        <v>91</v>
      </c>
      <c r="G288" s="64">
        <v>7</v>
      </c>
      <c r="H288" s="8" t="s">
        <v>481</v>
      </c>
      <c r="I288" s="42" t="s">
        <v>80</v>
      </c>
      <c r="J288" s="63" t="s">
        <v>77</v>
      </c>
      <c r="K288" s="58" t="s">
        <v>482</v>
      </c>
      <c r="L288" s="76">
        <v>0</v>
      </c>
      <c r="M288" s="81">
        <v>0</v>
      </c>
      <c r="N288" s="81">
        <f>(Tabela1[[#This Row],[SIMULADO 2 NOTA]]-Tabela1[[#This Row],[SIMULADO 1 - NOTA]])</f>
        <v>0</v>
      </c>
      <c r="O288" s="53"/>
      <c r="P288" s="53"/>
      <c r="Q288" s="53"/>
      <c r="R288" s="53"/>
      <c r="S288" s="53"/>
      <c r="T288" s="7"/>
      <c r="U288" s="7"/>
      <c r="V288" s="7"/>
      <c r="W288" s="7"/>
      <c r="X288" s="7" t="s">
        <v>87</v>
      </c>
      <c r="Y288" s="7"/>
      <c r="Z288" s="7"/>
      <c r="AA288" s="7" t="s">
        <v>87</v>
      </c>
      <c r="AB288" s="7" t="s">
        <v>87</v>
      </c>
      <c r="AC288" s="7" t="s">
        <v>87</v>
      </c>
      <c r="AD288" s="7"/>
      <c r="AE288" s="7" t="s">
        <v>87</v>
      </c>
      <c r="AF288" s="7"/>
      <c r="AG288" s="7" t="s">
        <v>87</v>
      </c>
      <c r="AH288" s="7"/>
      <c r="AI288" s="7"/>
      <c r="AJ288" s="7"/>
      <c r="AK288" s="7"/>
      <c r="AL288" s="7"/>
      <c r="AM288" s="7"/>
      <c r="AN288" s="7"/>
      <c r="AO288" s="7"/>
      <c r="AP288" s="7" t="s">
        <v>87</v>
      </c>
      <c r="AQ288" s="7" t="s">
        <v>87</v>
      </c>
      <c r="AR288" s="7" t="s">
        <v>87</v>
      </c>
      <c r="AS288" s="7" t="s">
        <v>87</v>
      </c>
      <c r="AT288" s="7" t="s">
        <v>87</v>
      </c>
      <c r="AU288" s="7" t="s">
        <v>87</v>
      </c>
      <c r="AV288" s="7" t="s">
        <v>87</v>
      </c>
      <c r="AW288" s="7" t="s">
        <v>87</v>
      </c>
      <c r="AX288" s="7" t="s">
        <v>87</v>
      </c>
      <c r="AY288" s="7" t="s">
        <v>87</v>
      </c>
      <c r="AZ288" s="7" t="s">
        <v>87</v>
      </c>
      <c r="BA288" s="7" t="s">
        <v>87</v>
      </c>
      <c r="BB288" s="7" t="s">
        <v>87</v>
      </c>
      <c r="BC288" s="7" t="s">
        <v>87</v>
      </c>
      <c r="BD288" s="7" t="s">
        <v>87</v>
      </c>
      <c r="BE288" s="7" t="s">
        <v>87</v>
      </c>
      <c r="BF288" s="7"/>
      <c r="BG288" s="7"/>
      <c r="BH288" s="7"/>
      <c r="BI288" s="7"/>
      <c r="BJ288" s="7"/>
      <c r="BK288" s="7"/>
      <c r="BL288" s="7"/>
      <c r="BM288" s="7"/>
      <c r="BN288" s="7"/>
      <c r="BO288" s="34"/>
      <c r="BP288" s="22"/>
    </row>
    <row r="289" spans="1:68" s="3" customFormat="1" ht="25.5" customHeight="1">
      <c r="A289" s="22" t="s">
        <v>69</v>
      </c>
      <c r="B289" s="3">
        <v>29136822</v>
      </c>
      <c r="C289" s="3" t="s">
        <v>70</v>
      </c>
      <c r="D289" s="3" t="s">
        <v>71</v>
      </c>
      <c r="E289" s="6">
        <v>9238863466</v>
      </c>
      <c r="F289" s="3" t="s">
        <v>91</v>
      </c>
      <c r="G289" s="64">
        <v>9</v>
      </c>
      <c r="H289" s="15" t="s">
        <v>483</v>
      </c>
      <c r="I289" s="40" t="s">
        <v>74</v>
      </c>
      <c r="J289" s="63" t="s">
        <v>75</v>
      </c>
      <c r="K289" s="58" t="s">
        <v>484</v>
      </c>
      <c r="L289" s="75">
        <v>58</v>
      </c>
      <c r="M289" s="81">
        <v>46</v>
      </c>
      <c r="N289" s="84">
        <f>(Tabela1[[#This Row],[SIMULADO 2 NOTA]]-Tabela1[[#This Row],[SIMULADO 1 - NOTA]])</f>
        <v>-12</v>
      </c>
      <c r="O289" s="52"/>
      <c r="P289" s="52"/>
      <c r="Q289" s="52"/>
      <c r="R289" s="52"/>
      <c r="S289" s="52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34"/>
      <c r="BP289" s="22"/>
    </row>
    <row r="290" spans="1:68" s="3" customFormat="1" ht="25.5" hidden="1" customHeight="1">
      <c r="A290" s="22" t="s">
        <v>69</v>
      </c>
      <c r="B290" s="5">
        <v>32721986</v>
      </c>
      <c r="C290" s="3" t="s">
        <v>70</v>
      </c>
      <c r="D290" s="3" t="s">
        <v>71</v>
      </c>
      <c r="E290" s="6">
        <v>10823049485</v>
      </c>
      <c r="F290" s="3" t="s">
        <v>78</v>
      </c>
      <c r="G290" s="64">
        <v>7</v>
      </c>
      <c r="H290" s="3" t="s">
        <v>485</v>
      </c>
      <c r="I290" s="41"/>
      <c r="J290" s="63" t="s">
        <v>77</v>
      </c>
      <c r="K290" s="57"/>
      <c r="L290" s="76">
        <v>0</v>
      </c>
      <c r="M290" s="81">
        <v>0</v>
      </c>
      <c r="N290" s="81">
        <f>(Tabela1[[#This Row],[SIMULADO 2 NOTA]]-Tabela1[[#This Row],[SIMULADO 1 - NOTA]])</f>
        <v>0</v>
      </c>
      <c r="O290" s="53"/>
      <c r="P290" s="53"/>
      <c r="Q290" s="53"/>
      <c r="R290" s="53"/>
      <c r="S290" s="53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34"/>
      <c r="BP290" s="22"/>
    </row>
    <row r="291" spans="1:68" s="3" customFormat="1" ht="25.5" customHeight="1">
      <c r="A291" s="22" t="s">
        <v>69</v>
      </c>
      <c r="B291" s="3">
        <v>29605865</v>
      </c>
      <c r="C291" s="3" t="s">
        <v>70</v>
      </c>
      <c r="D291" s="3" t="s">
        <v>71</v>
      </c>
      <c r="E291" s="6">
        <v>71350682462</v>
      </c>
      <c r="F291" s="3" t="s">
        <v>78</v>
      </c>
      <c r="G291" s="64">
        <v>9</v>
      </c>
      <c r="H291" s="18" t="s">
        <v>486</v>
      </c>
      <c r="I291" s="43" t="s">
        <v>84</v>
      </c>
      <c r="J291" s="63" t="s">
        <v>75</v>
      </c>
      <c r="K291" s="58" t="s">
        <v>209</v>
      </c>
      <c r="L291" s="75">
        <v>40</v>
      </c>
      <c r="M291" s="81">
        <v>44</v>
      </c>
      <c r="N291" s="79">
        <f>(Tabela1[[#This Row],[SIMULADO 2 NOTA]]-Tabela1[[#This Row],[SIMULADO 1 - NOTA]])</f>
        <v>4</v>
      </c>
      <c r="O291" s="52"/>
      <c r="P291" s="52"/>
      <c r="Q291" s="52"/>
      <c r="R291" s="52"/>
      <c r="S291" s="52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34"/>
      <c r="BP291" s="22"/>
    </row>
    <row r="292" spans="1:68" s="3" customFormat="1" ht="25.5" customHeight="1">
      <c r="A292" s="22" t="s">
        <v>69</v>
      </c>
      <c r="B292" s="3">
        <v>31876765</v>
      </c>
      <c r="C292" s="3" t="s">
        <v>70</v>
      </c>
      <c r="D292" s="3" t="s">
        <v>71</v>
      </c>
      <c r="E292" s="6">
        <v>5578089445</v>
      </c>
      <c r="F292" s="3" t="s">
        <v>82</v>
      </c>
      <c r="G292" s="64">
        <v>9</v>
      </c>
      <c r="H292" s="18" t="s">
        <v>487</v>
      </c>
      <c r="I292" s="43" t="s">
        <v>84</v>
      </c>
      <c r="J292" s="63" t="s">
        <v>75</v>
      </c>
      <c r="K292" s="58" t="s">
        <v>488</v>
      </c>
      <c r="L292" s="75">
        <v>29</v>
      </c>
      <c r="M292" s="81">
        <v>33</v>
      </c>
      <c r="N292" s="79">
        <f>(Tabela1[[#This Row],[SIMULADO 2 NOTA]]-Tabela1[[#This Row],[SIMULADO 1 - NOTA]])</f>
        <v>4</v>
      </c>
      <c r="O292" s="52"/>
      <c r="P292" s="52"/>
      <c r="Q292" s="52"/>
      <c r="R292" s="52"/>
      <c r="S292" s="52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34"/>
      <c r="BP292" s="22"/>
    </row>
    <row r="293" spans="1:68" s="3" customFormat="1" ht="25.5" hidden="1" customHeight="1">
      <c r="A293" s="22" t="s">
        <v>69</v>
      </c>
      <c r="B293" s="3">
        <v>32831056</v>
      </c>
      <c r="C293" s="3" t="s">
        <v>70</v>
      </c>
      <c r="D293" s="3" t="s">
        <v>71</v>
      </c>
      <c r="E293" s="6">
        <v>6881453450</v>
      </c>
      <c r="F293" s="3" t="s">
        <v>82</v>
      </c>
      <c r="G293" s="64">
        <v>7</v>
      </c>
      <c r="H293" s="3" t="s">
        <v>489</v>
      </c>
      <c r="I293" s="41"/>
      <c r="J293" s="63" t="s">
        <v>77</v>
      </c>
      <c r="K293" s="57"/>
      <c r="L293" s="76">
        <v>0</v>
      </c>
      <c r="M293" s="81">
        <v>0</v>
      </c>
      <c r="N293" s="81">
        <f>(Tabela1[[#This Row],[SIMULADO 2 NOTA]]-Tabela1[[#This Row],[SIMULADO 1 - NOTA]])</f>
        <v>0</v>
      </c>
      <c r="O293" s="53"/>
      <c r="P293" s="53"/>
      <c r="Q293" s="53"/>
      <c r="R293" s="53"/>
      <c r="S293" s="53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34"/>
      <c r="BP293" s="22"/>
    </row>
    <row r="294" spans="1:68" s="3" customFormat="1" ht="25.5" hidden="1" customHeight="1">
      <c r="A294" s="22" t="s">
        <v>69</v>
      </c>
      <c r="B294" s="3">
        <v>32700041</v>
      </c>
      <c r="C294" s="3" t="s">
        <v>70</v>
      </c>
      <c r="D294" s="3" t="s">
        <v>71</v>
      </c>
      <c r="E294" s="6">
        <v>12010649451</v>
      </c>
      <c r="F294" s="3" t="s">
        <v>82</v>
      </c>
      <c r="G294" s="64">
        <v>7</v>
      </c>
      <c r="H294" s="3" t="s">
        <v>490</v>
      </c>
      <c r="I294" s="41"/>
      <c r="J294" s="63" t="s">
        <v>77</v>
      </c>
      <c r="K294" s="57"/>
      <c r="L294" s="76">
        <v>0</v>
      </c>
      <c r="M294" s="81">
        <v>0</v>
      </c>
      <c r="N294" s="81">
        <f>(Tabela1[[#This Row],[SIMULADO 2 NOTA]]-Tabela1[[#This Row],[SIMULADO 1 - NOTA]])</f>
        <v>0</v>
      </c>
      <c r="O294" s="53"/>
      <c r="P294" s="53"/>
      <c r="Q294" s="53"/>
      <c r="R294" s="53"/>
      <c r="S294" s="53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34"/>
      <c r="BP294" s="22"/>
    </row>
    <row r="295" spans="1:68" s="3" customFormat="1" ht="25.5" hidden="1" customHeight="1">
      <c r="A295" s="22" t="s">
        <v>69</v>
      </c>
      <c r="B295" s="3">
        <v>32723156</v>
      </c>
      <c r="C295" s="3" t="s">
        <v>70</v>
      </c>
      <c r="D295" s="3" t="s">
        <v>71</v>
      </c>
      <c r="E295" s="6">
        <v>70163072477</v>
      </c>
      <c r="F295" s="3" t="s">
        <v>72</v>
      </c>
      <c r="G295" s="64">
        <v>7</v>
      </c>
      <c r="H295" s="3" t="s">
        <v>491</v>
      </c>
      <c r="I295" s="41"/>
      <c r="J295" s="63" t="s">
        <v>77</v>
      </c>
      <c r="K295" s="57"/>
      <c r="L295" s="76">
        <v>0</v>
      </c>
      <c r="M295" s="81">
        <v>0</v>
      </c>
      <c r="N295" s="81">
        <f>(Tabela1[[#This Row],[SIMULADO 2 NOTA]]-Tabela1[[#This Row],[SIMULADO 1 - NOTA]])</f>
        <v>0</v>
      </c>
      <c r="O295" s="53"/>
      <c r="P295" s="53"/>
      <c r="Q295" s="53"/>
      <c r="R295" s="53"/>
      <c r="S295" s="53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34"/>
      <c r="BP295" s="22"/>
    </row>
    <row r="296" spans="1:68" s="3" customFormat="1" ht="25.5" customHeight="1">
      <c r="A296" s="22" t="s">
        <v>69</v>
      </c>
      <c r="B296" s="3">
        <v>28999606</v>
      </c>
      <c r="C296" s="3" t="s">
        <v>70</v>
      </c>
      <c r="D296" s="3" t="s">
        <v>71</v>
      </c>
      <c r="E296" s="6">
        <v>2623540390</v>
      </c>
      <c r="F296" s="3" t="s">
        <v>78</v>
      </c>
      <c r="G296" s="64">
        <v>9</v>
      </c>
      <c r="H296" s="18" t="s">
        <v>492</v>
      </c>
      <c r="I296" s="43" t="s">
        <v>84</v>
      </c>
      <c r="J296" s="63" t="s">
        <v>75</v>
      </c>
      <c r="K296" s="58" t="s">
        <v>493</v>
      </c>
      <c r="L296" s="75">
        <v>48</v>
      </c>
      <c r="M296" s="81">
        <v>58</v>
      </c>
      <c r="N296" s="79">
        <f>(Tabela1[[#This Row],[SIMULADO 2 NOTA]]-Tabela1[[#This Row],[SIMULADO 1 - NOTA]])</f>
        <v>10</v>
      </c>
      <c r="O296" s="52"/>
      <c r="P296" s="52"/>
      <c r="Q296" s="52"/>
      <c r="R296" s="52"/>
      <c r="S296" s="52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34"/>
      <c r="BP296" s="22"/>
    </row>
    <row r="297" spans="1:68" s="3" customFormat="1" ht="25.5" customHeight="1">
      <c r="A297" s="22" t="s">
        <v>69</v>
      </c>
      <c r="B297" s="3">
        <v>29457769</v>
      </c>
      <c r="C297" s="3" t="s">
        <v>70</v>
      </c>
      <c r="D297" s="3" t="s">
        <v>71</v>
      </c>
      <c r="E297" s="6">
        <v>12027373403</v>
      </c>
      <c r="F297" s="3" t="s">
        <v>91</v>
      </c>
      <c r="G297" s="64">
        <v>9</v>
      </c>
      <c r="H297" s="3" t="s">
        <v>494</v>
      </c>
      <c r="I297" s="41"/>
      <c r="J297" s="63" t="s">
        <v>75</v>
      </c>
      <c r="K297" s="58" t="s">
        <v>474</v>
      </c>
      <c r="L297" s="76">
        <v>0</v>
      </c>
      <c r="M297" s="81">
        <v>41</v>
      </c>
      <c r="N297" s="79">
        <f>(Tabela1[[#This Row],[SIMULADO 2 NOTA]]-Tabela1[[#This Row],[SIMULADO 1 - NOTA]])</f>
        <v>41</v>
      </c>
      <c r="O297" s="53"/>
      <c r="P297" s="53"/>
      <c r="Q297" s="53"/>
      <c r="R297" s="53"/>
      <c r="S297" s="53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34"/>
      <c r="BP297" s="22"/>
    </row>
    <row r="298" spans="1:68" s="3" customFormat="1" ht="25.5" customHeight="1">
      <c r="A298" s="22" t="s">
        <v>69</v>
      </c>
      <c r="B298" s="3">
        <v>33260869</v>
      </c>
      <c r="C298" s="3" t="s">
        <v>70</v>
      </c>
      <c r="D298" s="3" t="s">
        <v>71</v>
      </c>
      <c r="E298" s="6">
        <v>71245817450</v>
      </c>
      <c r="F298" s="3" t="s">
        <v>72</v>
      </c>
      <c r="G298" s="64">
        <v>7</v>
      </c>
      <c r="H298" s="8" t="s">
        <v>495</v>
      </c>
      <c r="I298" s="42" t="s">
        <v>80</v>
      </c>
      <c r="J298" s="63" t="s">
        <v>77</v>
      </c>
      <c r="K298" s="58" t="s">
        <v>496</v>
      </c>
      <c r="L298" s="76">
        <v>0</v>
      </c>
      <c r="M298" s="81">
        <v>28</v>
      </c>
      <c r="N298" s="79">
        <f>(Tabela1[[#This Row],[SIMULADO 2 NOTA]]-Tabela1[[#This Row],[SIMULADO 1 - NOTA]])</f>
        <v>28</v>
      </c>
      <c r="O298" s="69"/>
      <c r="P298" s="69"/>
      <c r="Q298" s="69"/>
      <c r="R298" s="69"/>
      <c r="S298" s="69"/>
      <c r="T298" s="7"/>
      <c r="U298" s="7"/>
      <c r="V298" s="7"/>
      <c r="W298" s="7"/>
      <c r="X298" s="7"/>
      <c r="Y298" s="7"/>
      <c r="Z298" s="7">
        <v>4.2</v>
      </c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34"/>
      <c r="BP298" s="22"/>
    </row>
    <row r="299" spans="1:68" s="3" customFormat="1" ht="25.5" customHeight="1">
      <c r="A299" s="22" t="s">
        <v>69</v>
      </c>
      <c r="B299" s="3">
        <v>31287361</v>
      </c>
      <c r="C299" s="3" t="s">
        <v>70</v>
      </c>
      <c r="D299" s="3" t="s">
        <v>71</v>
      </c>
      <c r="E299" s="6">
        <v>31262901839</v>
      </c>
      <c r="F299" s="3" t="s">
        <v>72</v>
      </c>
      <c r="G299" s="64">
        <v>11</v>
      </c>
      <c r="H299" s="3" t="s">
        <v>497</v>
      </c>
      <c r="I299" s="41"/>
      <c r="J299" s="63" t="s">
        <v>77</v>
      </c>
      <c r="K299" s="58" t="s">
        <v>498</v>
      </c>
      <c r="L299" s="76">
        <v>0</v>
      </c>
      <c r="M299" s="82">
        <v>56</v>
      </c>
      <c r="N299" s="92">
        <f>(Tabela1[[#This Row],[SIMULADO 2 NOTA]]-Tabela1[[#This Row],[SIMULADO 1 - NOTA]])</f>
        <v>56</v>
      </c>
      <c r="O299" s="78"/>
      <c r="P299" s="78"/>
      <c r="Q299" s="78"/>
      <c r="R299" s="78"/>
      <c r="S299" s="78"/>
      <c r="T299" s="68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34"/>
      <c r="BP299" s="22"/>
    </row>
    <row r="300" spans="1:68" s="3" customFormat="1" ht="25.5" customHeight="1">
      <c r="A300" s="22" t="s">
        <v>69</v>
      </c>
      <c r="B300" s="3">
        <v>30082030</v>
      </c>
      <c r="C300" s="3" t="s">
        <v>70</v>
      </c>
      <c r="D300" s="3" t="s">
        <v>71</v>
      </c>
      <c r="E300" s="6">
        <v>7584343406</v>
      </c>
      <c r="F300" s="3" t="s">
        <v>72</v>
      </c>
      <c r="G300" s="64">
        <v>11</v>
      </c>
      <c r="H300" s="15" t="s">
        <v>499</v>
      </c>
      <c r="I300" s="40" t="s">
        <v>74</v>
      </c>
      <c r="J300" s="63" t="s">
        <v>77</v>
      </c>
      <c r="K300" s="58" t="s">
        <v>187</v>
      </c>
      <c r="L300" s="75">
        <v>54</v>
      </c>
      <c r="M300" s="82">
        <v>50</v>
      </c>
      <c r="N300" s="84">
        <f>(Tabela1[[#This Row],[SIMULADO 2 NOTA]]-Tabela1[[#This Row],[SIMULADO 1 - NOTA]])</f>
        <v>-4</v>
      </c>
      <c r="O300" s="78"/>
      <c r="P300" s="78"/>
      <c r="Q300" s="78"/>
      <c r="R300" s="78"/>
      <c r="S300" s="78"/>
      <c r="T300" s="68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34"/>
      <c r="BP300" s="22"/>
    </row>
    <row r="301" spans="1:68" s="3" customFormat="1" ht="25.5" customHeight="1">
      <c r="A301" s="22" t="s">
        <v>69</v>
      </c>
      <c r="B301" s="3">
        <v>29226121</v>
      </c>
      <c r="C301" s="3" t="s">
        <v>70</v>
      </c>
      <c r="D301" s="3" t="s">
        <v>71</v>
      </c>
      <c r="E301" s="6">
        <v>5293390481</v>
      </c>
      <c r="F301" s="3" t="s">
        <v>82</v>
      </c>
      <c r="G301" s="64">
        <v>11</v>
      </c>
      <c r="H301" s="3" t="s">
        <v>500</v>
      </c>
      <c r="I301" s="41"/>
      <c r="J301" s="63" t="s">
        <v>77</v>
      </c>
      <c r="K301" s="58" t="s">
        <v>355</v>
      </c>
      <c r="L301" s="75">
        <v>61</v>
      </c>
      <c r="M301" s="82">
        <v>57</v>
      </c>
      <c r="N301" s="84">
        <f>(Tabela1[[#This Row],[SIMULADO 2 NOTA]]-Tabela1[[#This Row],[SIMULADO 1 - NOTA]])</f>
        <v>-4</v>
      </c>
      <c r="O301" s="78"/>
      <c r="P301" s="78"/>
      <c r="Q301" s="78"/>
      <c r="R301" s="78"/>
      <c r="S301" s="78"/>
      <c r="T301" s="68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34"/>
      <c r="BP301" s="22"/>
    </row>
    <row r="302" spans="1:68" s="3" customFormat="1" ht="25.5" customHeight="1">
      <c r="A302" s="22" t="s">
        <v>69</v>
      </c>
      <c r="B302" s="3">
        <v>25492268</v>
      </c>
      <c r="C302" s="3" t="s">
        <v>70</v>
      </c>
      <c r="D302" s="3" t="s">
        <v>71</v>
      </c>
      <c r="E302" s="6">
        <v>13699643409</v>
      </c>
      <c r="F302" s="3" t="s">
        <v>82</v>
      </c>
      <c r="G302" s="64">
        <v>11</v>
      </c>
      <c r="H302" s="18" t="s">
        <v>501</v>
      </c>
      <c r="I302" s="43" t="s">
        <v>84</v>
      </c>
      <c r="J302" s="63" t="s">
        <v>77</v>
      </c>
      <c r="K302" s="58" t="s">
        <v>127</v>
      </c>
      <c r="L302" s="75">
        <v>37</v>
      </c>
      <c r="M302" s="82">
        <v>65</v>
      </c>
      <c r="N302" s="92">
        <f>(Tabela1[[#This Row],[SIMULADO 2 NOTA]]-Tabela1[[#This Row],[SIMULADO 1 - NOTA]])</f>
        <v>28</v>
      </c>
      <c r="O302" s="78"/>
      <c r="P302" s="78"/>
      <c r="Q302" s="78"/>
      <c r="R302" s="78"/>
      <c r="S302" s="78"/>
      <c r="T302" s="68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34"/>
      <c r="BP302" s="22"/>
    </row>
    <row r="303" spans="1:68" s="3" customFormat="1" ht="25.5" hidden="1" customHeight="1">
      <c r="A303" s="22" t="s">
        <v>69</v>
      </c>
      <c r="B303" s="3">
        <v>30080878</v>
      </c>
      <c r="C303" s="3" t="s">
        <v>70</v>
      </c>
      <c r="D303" s="3" t="s">
        <v>71</v>
      </c>
      <c r="E303" s="6">
        <v>12948550424</v>
      </c>
      <c r="F303" s="3" t="s">
        <v>91</v>
      </c>
      <c r="G303" s="64">
        <v>7</v>
      </c>
      <c r="H303" s="3" t="s">
        <v>502</v>
      </c>
      <c r="I303" s="41"/>
      <c r="J303" s="63" t="s">
        <v>77</v>
      </c>
      <c r="K303" s="57"/>
      <c r="L303" s="76">
        <v>0</v>
      </c>
      <c r="M303" s="81">
        <v>0</v>
      </c>
      <c r="N303" s="81">
        <f>(Tabela1[[#This Row],[SIMULADO 2 NOTA]]-Tabela1[[#This Row],[SIMULADO 1 - NOTA]])</f>
        <v>0</v>
      </c>
      <c r="O303" s="70"/>
      <c r="P303" s="70"/>
      <c r="Q303" s="70"/>
      <c r="R303" s="70"/>
      <c r="S303" s="70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 t="s">
        <v>87</v>
      </c>
      <c r="BG303" s="7"/>
      <c r="BH303" s="7"/>
      <c r="BI303" s="7"/>
      <c r="BJ303" s="7"/>
      <c r="BK303" s="7"/>
      <c r="BL303" s="7"/>
      <c r="BM303" s="7"/>
      <c r="BN303" s="7"/>
      <c r="BO303" s="34"/>
      <c r="BP303" s="22"/>
    </row>
    <row r="304" spans="1:68" s="3" customFormat="1" ht="25.5" hidden="1" customHeight="1">
      <c r="A304" s="22" t="s">
        <v>69</v>
      </c>
      <c r="B304" s="3">
        <v>30062187</v>
      </c>
      <c r="C304" s="3" t="s">
        <v>70</v>
      </c>
      <c r="D304" s="3" t="s">
        <v>71</v>
      </c>
      <c r="E304" s="6">
        <v>15131273498</v>
      </c>
      <c r="F304" s="3" t="s">
        <v>82</v>
      </c>
      <c r="G304" s="64">
        <v>9</v>
      </c>
      <c r="H304" s="18" t="s">
        <v>503</v>
      </c>
      <c r="I304" s="43" t="s">
        <v>84</v>
      </c>
      <c r="J304" s="63" t="s">
        <v>75</v>
      </c>
      <c r="K304" s="58" t="s">
        <v>368</v>
      </c>
      <c r="L304" s="75">
        <v>41</v>
      </c>
      <c r="M304" s="81">
        <v>0</v>
      </c>
      <c r="N304" s="84">
        <f>(Tabela1[[#This Row],[SIMULADO 2 NOTA]]-Tabela1[[#This Row],[SIMULADO 1 - NOTA]])</f>
        <v>-41</v>
      </c>
      <c r="O304" s="52"/>
      <c r="P304" s="52"/>
      <c r="Q304" s="52"/>
      <c r="R304" s="52"/>
      <c r="S304" s="52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34"/>
      <c r="BP304" s="22"/>
    </row>
    <row r="305" spans="1:68" s="3" customFormat="1" ht="25.5" customHeight="1">
      <c r="A305" s="22" t="s">
        <v>69</v>
      </c>
      <c r="B305" s="3">
        <v>29262585</v>
      </c>
      <c r="C305" s="3" t="s">
        <v>70</v>
      </c>
      <c r="D305" s="3" t="s">
        <v>71</v>
      </c>
      <c r="E305" s="6">
        <v>12221217438</v>
      </c>
      <c r="F305" s="3" t="s">
        <v>91</v>
      </c>
      <c r="G305" s="64">
        <v>9</v>
      </c>
      <c r="H305" s="15" t="s">
        <v>504</v>
      </c>
      <c r="I305" s="40" t="s">
        <v>74</v>
      </c>
      <c r="J305" s="63" t="s">
        <v>75</v>
      </c>
      <c r="K305" s="58" t="s">
        <v>505</v>
      </c>
      <c r="L305" s="75">
        <v>56</v>
      </c>
      <c r="M305" s="81">
        <v>40</v>
      </c>
      <c r="N305" s="84">
        <f>(Tabela1[[#This Row],[SIMULADO 2 NOTA]]-Tabela1[[#This Row],[SIMULADO 1 - NOTA]])</f>
        <v>-16</v>
      </c>
      <c r="O305" s="52"/>
      <c r="P305" s="52"/>
      <c r="Q305" s="52"/>
      <c r="R305" s="52"/>
      <c r="S305" s="52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34"/>
      <c r="BP305" s="22"/>
    </row>
    <row r="306" spans="1:68" s="3" customFormat="1" ht="25.5" customHeight="1">
      <c r="A306" s="22" t="s">
        <v>69</v>
      </c>
      <c r="B306" s="3">
        <v>28941977</v>
      </c>
      <c r="C306" s="3" t="s">
        <v>70</v>
      </c>
      <c r="D306" s="3" t="s">
        <v>71</v>
      </c>
      <c r="E306" s="6">
        <v>71137680407</v>
      </c>
      <c r="F306" s="3" t="s">
        <v>78</v>
      </c>
      <c r="G306" s="64">
        <v>9</v>
      </c>
      <c r="H306" s="15" t="s">
        <v>506</v>
      </c>
      <c r="I306" s="40" t="s">
        <v>74</v>
      </c>
      <c r="J306" s="63" t="s">
        <v>75</v>
      </c>
      <c r="K306" s="58" t="s">
        <v>278</v>
      </c>
      <c r="L306" s="75">
        <v>55</v>
      </c>
      <c r="M306" s="81">
        <v>50</v>
      </c>
      <c r="N306" s="84">
        <f>(Tabela1[[#This Row],[SIMULADO 2 NOTA]]-Tabela1[[#This Row],[SIMULADO 1 - NOTA]])</f>
        <v>-5</v>
      </c>
      <c r="O306" s="52"/>
      <c r="P306" s="52"/>
      <c r="Q306" s="52"/>
      <c r="R306" s="52"/>
      <c r="S306" s="52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34"/>
      <c r="BP306" s="22"/>
    </row>
    <row r="307" spans="1:68" s="3" customFormat="1" ht="25.5" customHeight="1">
      <c r="A307" s="22" t="s">
        <v>69</v>
      </c>
      <c r="B307" s="3">
        <v>29367522</v>
      </c>
      <c r="C307" s="3" t="s">
        <v>70</v>
      </c>
      <c r="D307" s="3" t="s">
        <v>71</v>
      </c>
      <c r="E307" s="6">
        <v>6686378380</v>
      </c>
      <c r="F307" s="3" t="s">
        <v>72</v>
      </c>
      <c r="G307" s="64">
        <v>9</v>
      </c>
      <c r="H307" s="18" t="s">
        <v>507</v>
      </c>
      <c r="I307" s="43" t="s">
        <v>84</v>
      </c>
      <c r="J307" s="63" t="s">
        <v>75</v>
      </c>
      <c r="K307" s="58" t="s">
        <v>508</v>
      </c>
      <c r="L307" s="75">
        <v>48</v>
      </c>
      <c r="M307" s="81">
        <v>41</v>
      </c>
      <c r="N307" s="84">
        <f>(Tabela1[[#This Row],[SIMULADO 2 NOTA]]-Tabela1[[#This Row],[SIMULADO 1 - NOTA]])</f>
        <v>-7</v>
      </c>
      <c r="O307" s="52"/>
      <c r="P307" s="52"/>
      <c r="Q307" s="52"/>
      <c r="R307" s="52"/>
      <c r="S307" s="52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34"/>
      <c r="BP307" s="22"/>
    </row>
    <row r="308" spans="1:68" s="3" customFormat="1" ht="25.5" customHeight="1">
      <c r="A308" s="22" t="s">
        <v>69</v>
      </c>
      <c r="B308" s="3">
        <v>30607540</v>
      </c>
      <c r="C308" s="3" t="s">
        <v>70</v>
      </c>
      <c r="D308" s="3" t="s">
        <v>71</v>
      </c>
      <c r="E308" s="6">
        <v>7449590395</v>
      </c>
      <c r="F308" s="3" t="s">
        <v>91</v>
      </c>
      <c r="G308" s="64">
        <v>9</v>
      </c>
      <c r="H308" s="15" t="s">
        <v>509</v>
      </c>
      <c r="I308" s="40" t="s">
        <v>74</v>
      </c>
      <c r="J308" s="63" t="s">
        <v>75</v>
      </c>
      <c r="K308" s="58" t="s">
        <v>397</v>
      </c>
      <c r="L308" s="75">
        <v>59</v>
      </c>
      <c r="M308" s="81">
        <v>59</v>
      </c>
      <c r="N308" s="81">
        <f>(Tabela1[[#This Row],[SIMULADO 2 NOTA]]-Tabela1[[#This Row],[SIMULADO 1 - NOTA]])</f>
        <v>0</v>
      </c>
      <c r="O308" s="52"/>
      <c r="P308" s="52"/>
      <c r="Q308" s="52"/>
      <c r="R308" s="52"/>
      <c r="S308" s="52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34"/>
      <c r="BP308" s="22"/>
    </row>
    <row r="309" spans="1:68" s="3" customFormat="1" ht="25.5" customHeight="1">
      <c r="A309" s="22" t="s">
        <v>69</v>
      </c>
      <c r="B309" s="3">
        <v>34535799</v>
      </c>
      <c r="C309" s="3" t="s">
        <v>70</v>
      </c>
      <c r="D309" s="3" t="s">
        <v>71</v>
      </c>
      <c r="E309" s="6">
        <v>70880649445</v>
      </c>
      <c r="F309" s="3" t="s">
        <v>82</v>
      </c>
      <c r="G309" s="64">
        <v>7</v>
      </c>
      <c r="H309" s="3" t="s">
        <v>510</v>
      </c>
      <c r="I309" s="41"/>
      <c r="J309" s="63" t="s">
        <v>77</v>
      </c>
      <c r="K309" s="57"/>
      <c r="L309" s="76">
        <v>0</v>
      </c>
      <c r="M309" s="81">
        <v>45</v>
      </c>
      <c r="N309" s="79">
        <f>(Tabela1[[#This Row],[SIMULADO 2 NOTA]]-Tabela1[[#This Row],[SIMULADO 1 - NOTA]])</f>
        <v>45</v>
      </c>
      <c r="O309" s="53"/>
      <c r="P309" s="53"/>
      <c r="Q309" s="53"/>
      <c r="R309" s="53"/>
      <c r="S309" s="53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34"/>
      <c r="BP309" s="22"/>
    </row>
    <row r="310" spans="1:68" s="3" customFormat="1" ht="25.5" customHeight="1">
      <c r="A310" s="22" t="s">
        <v>69</v>
      </c>
      <c r="B310" s="5">
        <v>32726562</v>
      </c>
      <c r="C310" s="3" t="s">
        <v>70</v>
      </c>
      <c r="D310" s="3" t="s">
        <v>71</v>
      </c>
      <c r="E310" s="6">
        <v>70914221477</v>
      </c>
      <c r="F310" s="3" t="s">
        <v>78</v>
      </c>
      <c r="G310" s="64">
        <v>7</v>
      </c>
      <c r="H310" s="3" t="s">
        <v>511</v>
      </c>
      <c r="I310" s="41"/>
      <c r="J310" s="63" t="s">
        <v>77</v>
      </c>
      <c r="K310" s="57"/>
      <c r="L310" s="76">
        <v>0</v>
      </c>
      <c r="M310" s="81">
        <v>40</v>
      </c>
      <c r="N310" s="79">
        <f>(Tabela1[[#This Row],[SIMULADO 2 NOTA]]-Tabela1[[#This Row],[SIMULADO 1 - NOTA]])</f>
        <v>40</v>
      </c>
      <c r="O310" s="53"/>
      <c r="P310" s="53"/>
      <c r="Q310" s="53"/>
      <c r="R310" s="53"/>
      <c r="S310" s="53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34"/>
      <c r="BP310" s="22"/>
    </row>
    <row r="311" spans="1:68" s="5" customFormat="1" ht="25.5" customHeight="1">
      <c r="A311" s="22" t="s">
        <v>69</v>
      </c>
      <c r="B311" s="3">
        <v>29006520</v>
      </c>
      <c r="C311" s="3" t="s">
        <v>70</v>
      </c>
      <c r="D311" s="3" t="s">
        <v>71</v>
      </c>
      <c r="E311" s="6">
        <v>10251274470</v>
      </c>
      <c r="F311" s="3" t="s">
        <v>72</v>
      </c>
      <c r="G311" s="64">
        <v>9</v>
      </c>
      <c r="H311" s="15" t="s">
        <v>512</v>
      </c>
      <c r="I311" s="40" t="s">
        <v>74</v>
      </c>
      <c r="J311" s="63" t="s">
        <v>75</v>
      </c>
      <c r="K311" s="58" t="s">
        <v>294</v>
      </c>
      <c r="L311" s="75">
        <v>54</v>
      </c>
      <c r="M311" s="81">
        <v>37</v>
      </c>
      <c r="N311" s="84">
        <f>(Tabela1[[#This Row],[SIMULADO 2 NOTA]]-Tabela1[[#This Row],[SIMULADO 1 - NOTA]])</f>
        <v>-17</v>
      </c>
      <c r="O311" s="52"/>
      <c r="P311" s="52"/>
      <c r="Q311" s="52"/>
      <c r="R311" s="52"/>
      <c r="S311" s="52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34"/>
      <c r="BP311" s="23"/>
    </row>
    <row r="312" spans="1:68" s="3" customFormat="1" ht="25.5" hidden="1" customHeight="1">
      <c r="A312" s="22" t="s">
        <v>69</v>
      </c>
      <c r="B312" s="3">
        <v>28945468</v>
      </c>
      <c r="C312" s="3" t="s">
        <v>70</v>
      </c>
      <c r="D312" s="3" t="s">
        <v>71</v>
      </c>
      <c r="E312" s="6">
        <v>12010657470</v>
      </c>
      <c r="F312" s="3" t="s">
        <v>91</v>
      </c>
      <c r="G312" s="64">
        <v>9</v>
      </c>
      <c r="H312" s="18" t="s">
        <v>513</v>
      </c>
      <c r="I312" s="43" t="s">
        <v>84</v>
      </c>
      <c r="J312" s="63" t="s">
        <v>75</v>
      </c>
      <c r="K312" s="58" t="s">
        <v>99</v>
      </c>
      <c r="L312" s="75">
        <v>40</v>
      </c>
      <c r="M312" s="81">
        <v>31</v>
      </c>
      <c r="N312" s="84">
        <f>(Tabela1[[#This Row],[SIMULADO 2 NOTA]]-Tabela1[[#This Row],[SIMULADO 1 - NOTA]])</f>
        <v>-9</v>
      </c>
      <c r="O312" s="52"/>
      <c r="P312" s="52"/>
      <c r="Q312" s="52"/>
      <c r="R312" s="52"/>
      <c r="S312" s="52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34"/>
      <c r="BP312" s="22"/>
    </row>
    <row r="313" spans="1:68" s="3" customFormat="1" ht="25.5" hidden="1" customHeight="1">
      <c r="A313" s="22" t="s">
        <v>69</v>
      </c>
      <c r="B313" s="5">
        <v>32773536</v>
      </c>
      <c r="C313" s="3" t="s">
        <v>70</v>
      </c>
      <c r="D313" s="3" t="s">
        <v>71</v>
      </c>
      <c r="E313" s="6">
        <v>10489862411</v>
      </c>
      <c r="F313" s="3" t="s">
        <v>78</v>
      </c>
      <c r="G313" s="64">
        <v>7</v>
      </c>
      <c r="H313" s="8" t="s">
        <v>514</v>
      </c>
      <c r="I313" s="42" t="s">
        <v>80</v>
      </c>
      <c r="J313" s="63" t="s">
        <v>77</v>
      </c>
      <c r="K313" s="58" t="s">
        <v>515</v>
      </c>
      <c r="L313" s="76">
        <v>0</v>
      </c>
      <c r="M313" s="81">
        <v>32</v>
      </c>
      <c r="N313" s="79">
        <f>(Tabela1[[#This Row],[SIMULADO 2 NOTA]]-Tabela1[[#This Row],[SIMULADO 1 - NOTA]])</f>
        <v>32</v>
      </c>
      <c r="O313" s="53"/>
      <c r="P313" s="53"/>
      <c r="Q313" s="53"/>
      <c r="R313" s="53"/>
      <c r="S313" s="53"/>
      <c r="T313" s="7"/>
      <c r="U313" s="7"/>
      <c r="V313" s="7"/>
      <c r="W313" s="7"/>
      <c r="X313" s="7">
        <v>4.3</v>
      </c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34"/>
      <c r="BP313" s="22"/>
    </row>
    <row r="314" spans="1:68" s="3" customFormat="1" ht="25.5" hidden="1" customHeight="1">
      <c r="A314" s="22" t="s">
        <v>69</v>
      </c>
      <c r="B314" s="3">
        <v>33857440</v>
      </c>
      <c r="C314" s="3" t="s">
        <v>70</v>
      </c>
      <c r="D314" s="3" t="s">
        <v>71</v>
      </c>
      <c r="E314" s="6">
        <v>61589423321</v>
      </c>
      <c r="F314" s="3" t="s">
        <v>72</v>
      </c>
      <c r="G314" s="64">
        <v>7</v>
      </c>
      <c r="H314" s="3" t="s">
        <v>516</v>
      </c>
      <c r="I314" s="41"/>
      <c r="J314" s="63" t="s">
        <v>77</v>
      </c>
      <c r="K314" s="57"/>
      <c r="L314" s="76">
        <v>0</v>
      </c>
      <c r="M314" s="81">
        <v>0</v>
      </c>
      <c r="N314" s="81">
        <f>(Tabela1[[#This Row],[SIMULADO 2 NOTA]]-Tabela1[[#This Row],[SIMULADO 1 - NOTA]])</f>
        <v>0</v>
      </c>
      <c r="O314" s="69"/>
      <c r="P314" s="69"/>
      <c r="Q314" s="69"/>
      <c r="R314" s="69"/>
      <c r="S314" s="69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34"/>
      <c r="BP314" s="22"/>
    </row>
    <row r="315" spans="1:68" s="3" customFormat="1" ht="25.5" customHeight="1">
      <c r="A315" s="22" t="s">
        <v>69</v>
      </c>
      <c r="B315" s="3">
        <v>29214955</v>
      </c>
      <c r="C315" s="3" t="s">
        <v>70</v>
      </c>
      <c r="D315" s="3" t="s">
        <v>71</v>
      </c>
      <c r="E315" s="6">
        <v>1366388488</v>
      </c>
      <c r="F315" s="3" t="s">
        <v>72</v>
      </c>
      <c r="G315" s="64">
        <v>11</v>
      </c>
      <c r="H315" s="3" t="s">
        <v>517</v>
      </c>
      <c r="I315" s="41"/>
      <c r="J315" s="63" t="s">
        <v>77</v>
      </c>
      <c r="K315" s="58" t="s">
        <v>127</v>
      </c>
      <c r="L315" s="75">
        <v>73</v>
      </c>
      <c r="M315" s="82">
        <v>62</v>
      </c>
      <c r="N315" s="84">
        <f>(Tabela1[[#This Row],[SIMULADO 2 NOTA]]-Tabela1[[#This Row],[SIMULADO 1 - NOTA]])</f>
        <v>-11</v>
      </c>
      <c r="O315" s="78"/>
      <c r="P315" s="78"/>
      <c r="Q315" s="78"/>
      <c r="R315" s="78"/>
      <c r="S315" s="78"/>
      <c r="T315" s="68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34"/>
      <c r="BP315" s="22"/>
    </row>
    <row r="316" spans="1:68" s="3" customFormat="1" ht="25.5" hidden="1" customHeight="1">
      <c r="A316" s="22" t="s">
        <v>69</v>
      </c>
      <c r="B316" s="3">
        <v>34886036</v>
      </c>
      <c r="C316" s="3" t="s">
        <v>70</v>
      </c>
      <c r="D316" s="3" t="s">
        <v>71</v>
      </c>
      <c r="E316" s="6">
        <v>7165289402</v>
      </c>
      <c r="F316" s="3" t="s">
        <v>72</v>
      </c>
      <c r="G316" s="64">
        <v>7</v>
      </c>
      <c r="H316" s="3" t="s">
        <v>518</v>
      </c>
      <c r="I316" s="41"/>
      <c r="J316" s="63" t="s">
        <v>77</v>
      </c>
      <c r="K316" s="57"/>
      <c r="L316" s="76">
        <v>0</v>
      </c>
      <c r="M316" s="81">
        <v>0</v>
      </c>
      <c r="N316" s="81">
        <f>(Tabela1[[#This Row],[SIMULADO 2 NOTA]]-Tabela1[[#This Row],[SIMULADO 1 - NOTA]])</f>
        <v>0</v>
      </c>
      <c r="O316" s="70"/>
      <c r="P316" s="70"/>
      <c r="Q316" s="70"/>
      <c r="R316" s="70"/>
      <c r="S316" s="70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34"/>
      <c r="BP316" s="22"/>
    </row>
    <row r="317" spans="1:68" s="3" customFormat="1" ht="25.5" customHeight="1">
      <c r="A317" s="22" t="s">
        <v>69</v>
      </c>
      <c r="B317" s="3">
        <v>32801254</v>
      </c>
      <c r="C317" s="3" t="s">
        <v>70</v>
      </c>
      <c r="D317" s="3" t="s">
        <v>71</v>
      </c>
      <c r="E317" s="6">
        <v>10435770411</v>
      </c>
      <c r="F317" s="3" t="s">
        <v>72</v>
      </c>
      <c r="G317" s="64">
        <v>7</v>
      </c>
      <c r="H317" s="3" t="s">
        <v>519</v>
      </c>
      <c r="I317" s="41"/>
      <c r="J317" s="63" t="s">
        <v>77</v>
      </c>
      <c r="K317" s="57"/>
      <c r="L317" s="76">
        <v>0</v>
      </c>
      <c r="M317" s="81">
        <v>44</v>
      </c>
      <c r="N317" s="79">
        <f>(Tabela1[[#This Row],[SIMULADO 2 NOTA]]-Tabela1[[#This Row],[SIMULADO 1 - NOTA]])</f>
        <v>44</v>
      </c>
      <c r="O317" s="69"/>
      <c r="P317" s="69"/>
      <c r="Q317" s="69"/>
      <c r="R317" s="69"/>
      <c r="S317" s="69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34"/>
      <c r="BP317" s="22"/>
    </row>
    <row r="318" spans="1:68" s="3" customFormat="1" ht="25.5" customHeight="1">
      <c r="A318" s="22" t="s">
        <v>69</v>
      </c>
      <c r="B318" s="3">
        <v>25489780</v>
      </c>
      <c r="C318" s="3" t="s">
        <v>70</v>
      </c>
      <c r="D318" s="3" t="s">
        <v>71</v>
      </c>
      <c r="E318" s="6">
        <v>11083850440</v>
      </c>
      <c r="F318" s="3" t="s">
        <v>72</v>
      </c>
      <c r="G318" s="64">
        <v>11</v>
      </c>
      <c r="H318" s="15" t="s">
        <v>520</v>
      </c>
      <c r="I318" s="40" t="s">
        <v>74</v>
      </c>
      <c r="J318" s="63" t="s">
        <v>77</v>
      </c>
      <c r="K318" s="58" t="s">
        <v>174</v>
      </c>
      <c r="L318" s="75">
        <v>60</v>
      </c>
      <c r="M318" s="82">
        <v>40</v>
      </c>
      <c r="N318" s="84">
        <f>(Tabela1[[#This Row],[SIMULADO 2 NOTA]]-Tabela1[[#This Row],[SIMULADO 1 - NOTA]])</f>
        <v>-20</v>
      </c>
      <c r="O318" s="78"/>
      <c r="P318" s="78"/>
      <c r="Q318" s="78"/>
      <c r="R318" s="78"/>
      <c r="S318" s="78"/>
      <c r="T318" s="68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34"/>
      <c r="BP318" s="22"/>
    </row>
    <row r="319" spans="1:68" s="3" customFormat="1" ht="25.5" customHeight="1">
      <c r="A319" s="22" t="s">
        <v>69</v>
      </c>
      <c r="B319" s="3">
        <v>25564935</v>
      </c>
      <c r="C319" s="3" t="s">
        <v>70</v>
      </c>
      <c r="D319" s="3" t="s">
        <v>71</v>
      </c>
      <c r="E319" s="6">
        <v>10552186457</v>
      </c>
      <c r="F319" s="3" t="s">
        <v>72</v>
      </c>
      <c r="G319" s="64">
        <v>11</v>
      </c>
      <c r="H319" s="15" t="s">
        <v>521</v>
      </c>
      <c r="I319" s="40" t="s">
        <v>74</v>
      </c>
      <c r="J319" s="63" t="s">
        <v>75</v>
      </c>
      <c r="K319" s="58" t="s">
        <v>368</v>
      </c>
      <c r="L319" s="75">
        <v>56</v>
      </c>
      <c r="M319" s="82">
        <v>47</v>
      </c>
      <c r="N319" s="84">
        <f>(Tabela1[[#This Row],[SIMULADO 2 NOTA]]-Tabela1[[#This Row],[SIMULADO 1 - NOTA]])</f>
        <v>-9</v>
      </c>
      <c r="O319" s="72"/>
      <c r="P319" s="72"/>
      <c r="Q319" s="72"/>
      <c r="R319" s="72"/>
      <c r="S319" s="72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34"/>
      <c r="BP319" s="22"/>
    </row>
    <row r="320" spans="1:68" s="3" customFormat="1" ht="25.5" customHeight="1">
      <c r="A320" s="22" t="s">
        <v>69</v>
      </c>
      <c r="B320" s="3">
        <v>29589495</v>
      </c>
      <c r="C320" s="3" t="s">
        <v>70</v>
      </c>
      <c r="D320" s="3" t="s">
        <v>71</v>
      </c>
      <c r="E320" s="6">
        <v>14501530464</v>
      </c>
      <c r="F320" s="3" t="s">
        <v>82</v>
      </c>
      <c r="G320" s="64">
        <v>9</v>
      </c>
      <c r="H320" s="15" t="s">
        <v>522</v>
      </c>
      <c r="I320" s="40" t="s">
        <v>74</v>
      </c>
      <c r="J320" s="63" t="s">
        <v>75</v>
      </c>
      <c r="K320" s="58" t="s">
        <v>464</v>
      </c>
      <c r="L320" s="75">
        <v>54</v>
      </c>
      <c r="M320" s="81">
        <v>53</v>
      </c>
      <c r="N320" s="79">
        <f>(Tabela1[[#This Row],[SIMULADO 2 NOTA]]-Tabela1[[#This Row],[SIMULADO 1 - NOTA]])</f>
        <v>-1</v>
      </c>
      <c r="O320" s="52"/>
      <c r="P320" s="52"/>
      <c r="Q320" s="52"/>
      <c r="R320" s="52"/>
      <c r="S320" s="52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34"/>
      <c r="BP320" s="22"/>
    </row>
    <row r="321" spans="1:68" s="3" customFormat="1" ht="25.5" customHeight="1">
      <c r="A321" s="22" t="s">
        <v>69</v>
      </c>
      <c r="B321" s="3">
        <v>30569290</v>
      </c>
      <c r="C321" s="3" t="s">
        <v>70</v>
      </c>
      <c r="D321" s="3" t="s">
        <v>71</v>
      </c>
      <c r="E321" s="6">
        <v>10252954475</v>
      </c>
      <c r="F321" s="3" t="s">
        <v>82</v>
      </c>
      <c r="G321" s="64">
        <v>9</v>
      </c>
      <c r="H321" s="3" t="s">
        <v>523</v>
      </c>
      <c r="I321" s="41"/>
      <c r="J321" s="63" t="s">
        <v>75</v>
      </c>
      <c r="K321" s="58" t="s">
        <v>428</v>
      </c>
      <c r="L321" s="75">
        <v>69</v>
      </c>
      <c r="M321" s="81">
        <v>61</v>
      </c>
      <c r="N321" s="84">
        <f>(Tabela1[[#This Row],[SIMULADO 2 NOTA]]-Tabela1[[#This Row],[SIMULADO 1 - NOTA]])</f>
        <v>-8</v>
      </c>
      <c r="O321" s="54"/>
      <c r="P321" s="54"/>
      <c r="Q321" s="54"/>
      <c r="R321" s="54"/>
      <c r="S321" s="54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34"/>
      <c r="BP321" s="22"/>
    </row>
    <row r="322" spans="1:68" s="3" customFormat="1" ht="25.5" customHeight="1">
      <c r="A322" s="22" t="s">
        <v>69</v>
      </c>
      <c r="B322" s="3">
        <v>26412837</v>
      </c>
      <c r="C322" s="3" t="s">
        <v>70</v>
      </c>
      <c r="D322" s="3" t="s">
        <v>71</v>
      </c>
      <c r="E322" s="6">
        <v>13258895473</v>
      </c>
      <c r="F322" s="3" t="s">
        <v>72</v>
      </c>
      <c r="G322" s="64">
        <v>11</v>
      </c>
      <c r="H322" s="3" t="s">
        <v>524</v>
      </c>
      <c r="I322" s="41"/>
      <c r="J322" s="63" t="s">
        <v>77</v>
      </c>
      <c r="K322" s="58" t="s">
        <v>230</v>
      </c>
      <c r="L322" s="75">
        <v>78</v>
      </c>
      <c r="M322" s="82">
        <v>62</v>
      </c>
      <c r="N322" s="84">
        <f>(Tabela1[[#This Row],[SIMULADO 2 NOTA]]-Tabela1[[#This Row],[SIMULADO 1 - NOTA]])</f>
        <v>-16</v>
      </c>
      <c r="O322" s="78"/>
      <c r="P322" s="78"/>
      <c r="Q322" s="78"/>
      <c r="R322" s="78"/>
      <c r="S322" s="78"/>
      <c r="T322" s="68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34"/>
      <c r="BP322" s="22"/>
    </row>
    <row r="323" spans="1:68" s="3" customFormat="1" ht="25.5" hidden="1" customHeight="1">
      <c r="A323" s="22" t="s">
        <v>69</v>
      </c>
      <c r="B323" s="3">
        <v>32703066</v>
      </c>
      <c r="C323" s="3" t="s">
        <v>70</v>
      </c>
      <c r="D323" s="3" t="s">
        <v>71</v>
      </c>
      <c r="E323" s="6">
        <v>14539329413</v>
      </c>
      <c r="F323" s="3" t="s">
        <v>72</v>
      </c>
      <c r="G323" s="64">
        <v>7</v>
      </c>
      <c r="H323" s="3" t="s">
        <v>525</v>
      </c>
      <c r="I323" s="41"/>
      <c r="J323" s="63" t="s">
        <v>77</v>
      </c>
      <c r="K323" s="57"/>
      <c r="L323" s="76">
        <v>0</v>
      </c>
      <c r="M323" s="81">
        <v>0</v>
      </c>
      <c r="N323" s="81">
        <f>(Tabela1[[#This Row],[SIMULADO 2 NOTA]]-Tabela1[[#This Row],[SIMULADO 1 - NOTA]])</f>
        <v>0</v>
      </c>
      <c r="O323" s="70"/>
      <c r="P323" s="70"/>
      <c r="Q323" s="70"/>
      <c r="R323" s="70"/>
      <c r="S323" s="70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34"/>
      <c r="BP323" s="22"/>
    </row>
    <row r="324" spans="1:68" s="3" customFormat="1" ht="25.5" customHeight="1">
      <c r="A324" s="22" t="s">
        <v>69</v>
      </c>
      <c r="B324" s="3">
        <v>30625157</v>
      </c>
      <c r="C324" s="3" t="s">
        <v>70</v>
      </c>
      <c r="D324" s="3" t="s">
        <v>71</v>
      </c>
      <c r="E324" s="6">
        <v>8616535489</v>
      </c>
      <c r="F324" s="3" t="s">
        <v>72</v>
      </c>
      <c r="G324" s="64">
        <v>9</v>
      </c>
      <c r="H324" s="3" t="s">
        <v>526</v>
      </c>
      <c r="I324" s="41"/>
      <c r="J324" s="63" t="s">
        <v>75</v>
      </c>
      <c r="K324" s="58" t="s">
        <v>527</v>
      </c>
      <c r="L324" s="75">
        <v>63</v>
      </c>
      <c r="M324" s="81">
        <v>57</v>
      </c>
      <c r="N324" s="84">
        <f>(Tabela1[[#This Row],[SIMULADO 2 NOTA]]-Tabela1[[#This Row],[SIMULADO 1 - NOTA]])</f>
        <v>-6</v>
      </c>
      <c r="O324" s="54"/>
      <c r="P324" s="54"/>
      <c r="Q324" s="54"/>
      <c r="R324" s="54"/>
      <c r="S324" s="54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34"/>
      <c r="BP324" s="22"/>
    </row>
    <row r="325" spans="1:68" s="3" customFormat="1" ht="25.5" customHeight="1">
      <c r="A325" s="22" t="s">
        <v>69</v>
      </c>
      <c r="B325" s="3">
        <v>25559320</v>
      </c>
      <c r="C325" s="3" t="s">
        <v>70</v>
      </c>
      <c r="D325" s="3" t="s">
        <v>71</v>
      </c>
      <c r="E325" s="6">
        <v>4334916201</v>
      </c>
      <c r="F325" s="3" t="s">
        <v>82</v>
      </c>
      <c r="G325" s="64">
        <v>11</v>
      </c>
      <c r="H325" s="15" t="s">
        <v>528</v>
      </c>
      <c r="I325" s="40" t="s">
        <v>74</v>
      </c>
      <c r="J325" s="63" t="s">
        <v>77</v>
      </c>
      <c r="K325" s="58" t="s">
        <v>529</v>
      </c>
      <c r="L325" s="75">
        <v>54</v>
      </c>
      <c r="M325" s="82">
        <v>46</v>
      </c>
      <c r="N325" s="84">
        <f>(Tabela1[[#This Row],[SIMULADO 2 NOTA]]-Tabela1[[#This Row],[SIMULADO 1 - NOTA]])</f>
        <v>-8</v>
      </c>
      <c r="O325" s="78"/>
      <c r="P325" s="78"/>
      <c r="Q325" s="78"/>
      <c r="R325" s="78"/>
      <c r="S325" s="78"/>
      <c r="T325" s="68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34"/>
      <c r="BP325" s="22"/>
    </row>
    <row r="326" spans="1:68" s="3" customFormat="1" ht="25.5" customHeight="1">
      <c r="A326" s="22" t="s">
        <v>69</v>
      </c>
      <c r="B326" s="3">
        <v>29060516</v>
      </c>
      <c r="C326" s="3" t="s">
        <v>70</v>
      </c>
      <c r="D326" s="3" t="s">
        <v>71</v>
      </c>
      <c r="E326" s="6">
        <v>70871844400</v>
      </c>
      <c r="F326" s="3" t="s">
        <v>82</v>
      </c>
      <c r="G326" s="64">
        <v>9</v>
      </c>
      <c r="H326" s="3" t="s">
        <v>530</v>
      </c>
      <c r="I326" s="41"/>
      <c r="J326" s="63" t="s">
        <v>75</v>
      </c>
      <c r="K326" s="58" t="s">
        <v>464</v>
      </c>
      <c r="L326" s="75">
        <v>65</v>
      </c>
      <c r="M326" s="81">
        <v>53</v>
      </c>
      <c r="N326" s="84">
        <f>(Tabela1[[#This Row],[SIMULADO 2 NOTA]]-Tabela1[[#This Row],[SIMULADO 1 - NOTA]])</f>
        <v>-12</v>
      </c>
      <c r="O326" s="71"/>
      <c r="P326" s="71"/>
      <c r="Q326" s="71"/>
      <c r="R326" s="71"/>
      <c r="S326" s="71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34"/>
      <c r="BP326" s="22"/>
    </row>
    <row r="327" spans="1:68" s="3" customFormat="1" ht="25.5" customHeight="1">
      <c r="A327" s="22" t="s">
        <v>69</v>
      </c>
      <c r="B327" s="3">
        <v>26427702</v>
      </c>
      <c r="C327" s="3" t="s">
        <v>70</v>
      </c>
      <c r="D327" s="3" t="s">
        <v>71</v>
      </c>
      <c r="E327" s="6">
        <v>12333962429</v>
      </c>
      <c r="F327" s="3" t="s">
        <v>72</v>
      </c>
      <c r="G327" s="64">
        <v>11</v>
      </c>
      <c r="H327" s="3" t="s">
        <v>531</v>
      </c>
      <c r="I327" s="41"/>
      <c r="J327" s="63" t="s">
        <v>77</v>
      </c>
      <c r="K327" s="58" t="s">
        <v>123</v>
      </c>
      <c r="L327" s="75">
        <v>67</v>
      </c>
      <c r="M327" s="82">
        <v>68</v>
      </c>
      <c r="N327" s="92">
        <f>(Tabela1[[#This Row],[SIMULADO 2 NOTA]]-Tabela1[[#This Row],[SIMULADO 1 - NOTA]])</f>
        <v>1</v>
      </c>
      <c r="O327" s="78"/>
      <c r="P327" s="78"/>
      <c r="Q327" s="78"/>
      <c r="R327" s="78"/>
      <c r="S327" s="78"/>
      <c r="T327" s="68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34"/>
      <c r="BP327" s="22"/>
    </row>
    <row r="328" spans="1:68" s="3" customFormat="1" ht="25.5" customHeight="1">
      <c r="A328" s="22" t="s">
        <v>69</v>
      </c>
      <c r="B328" s="3">
        <v>25576615</v>
      </c>
      <c r="C328" s="3" t="s">
        <v>70</v>
      </c>
      <c r="D328" s="3" t="s">
        <v>71</v>
      </c>
      <c r="E328" s="6">
        <v>15138001400</v>
      </c>
      <c r="F328" s="3" t="s">
        <v>82</v>
      </c>
      <c r="G328" s="64">
        <v>11</v>
      </c>
      <c r="H328" s="18" t="s">
        <v>532</v>
      </c>
      <c r="I328" s="43" t="s">
        <v>84</v>
      </c>
      <c r="J328" s="63" t="s">
        <v>77</v>
      </c>
      <c r="K328" s="58" t="s">
        <v>484</v>
      </c>
      <c r="L328" s="75">
        <v>43</v>
      </c>
      <c r="M328" s="82">
        <v>37</v>
      </c>
      <c r="N328" s="84">
        <f>(Tabela1[[#This Row],[SIMULADO 2 NOTA]]-Tabela1[[#This Row],[SIMULADO 1 - NOTA]])</f>
        <v>-6</v>
      </c>
      <c r="O328" s="78"/>
      <c r="P328" s="78"/>
      <c r="Q328" s="78"/>
      <c r="R328" s="78"/>
      <c r="S328" s="78"/>
      <c r="T328" s="68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34"/>
      <c r="BP328" s="22"/>
    </row>
    <row r="329" spans="1:68" s="3" customFormat="1" ht="25.5" customHeight="1">
      <c r="A329" s="22" t="s">
        <v>69</v>
      </c>
      <c r="B329" s="3">
        <v>32705808</v>
      </c>
      <c r="C329" s="3" t="s">
        <v>70</v>
      </c>
      <c r="D329" s="3" t="s">
        <v>71</v>
      </c>
      <c r="E329" s="6">
        <v>13883715450</v>
      </c>
      <c r="F329" s="3" t="s">
        <v>91</v>
      </c>
      <c r="G329" s="64">
        <v>7</v>
      </c>
      <c r="H329" s="3" t="s">
        <v>533</v>
      </c>
      <c r="I329" s="41"/>
      <c r="J329" s="63" t="s">
        <v>77</v>
      </c>
      <c r="K329" s="57"/>
      <c r="L329" s="76">
        <v>0</v>
      </c>
      <c r="M329" s="81">
        <v>28</v>
      </c>
      <c r="N329" s="79">
        <f>(Tabela1[[#This Row],[SIMULADO 2 NOTA]]-Tabela1[[#This Row],[SIMULADO 1 - NOTA]])</f>
        <v>28</v>
      </c>
      <c r="O329" s="73"/>
      <c r="P329" s="73"/>
      <c r="Q329" s="73"/>
      <c r="R329" s="73"/>
      <c r="S329" s="73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34"/>
      <c r="BP329" s="22"/>
    </row>
    <row r="330" spans="1:68" s="3" customFormat="1" ht="25.5" customHeight="1">
      <c r="A330" s="22" t="s">
        <v>69</v>
      </c>
      <c r="B330" s="3">
        <v>26824621</v>
      </c>
      <c r="C330" s="3" t="s">
        <v>70</v>
      </c>
      <c r="D330" s="3" t="s">
        <v>71</v>
      </c>
      <c r="E330" s="6">
        <v>14321952476</v>
      </c>
      <c r="F330" s="3" t="s">
        <v>72</v>
      </c>
      <c r="G330" s="64">
        <v>11</v>
      </c>
      <c r="H330" s="18" t="s">
        <v>534</v>
      </c>
      <c r="I330" s="43" t="s">
        <v>84</v>
      </c>
      <c r="J330" s="63" t="s">
        <v>77</v>
      </c>
      <c r="K330" s="58" t="s">
        <v>535</v>
      </c>
      <c r="L330" s="75">
        <v>43</v>
      </c>
      <c r="M330" s="82">
        <v>33</v>
      </c>
      <c r="N330" s="84">
        <f>(Tabela1[[#This Row],[SIMULADO 2 NOTA]]-Tabela1[[#This Row],[SIMULADO 1 - NOTA]])</f>
        <v>-10</v>
      </c>
      <c r="O330" s="78"/>
      <c r="P330" s="78"/>
      <c r="Q330" s="78"/>
      <c r="R330" s="78"/>
      <c r="S330" s="78"/>
      <c r="T330" s="68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34"/>
      <c r="BP330" s="22"/>
    </row>
    <row r="331" spans="1:68" s="3" customFormat="1" ht="25.5" customHeight="1">
      <c r="A331" s="22" t="s">
        <v>69</v>
      </c>
      <c r="B331" s="3">
        <v>31292381</v>
      </c>
      <c r="C331" s="3" t="s">
        <v>70</v>
      </c>
      <c r="D331" s="3" t="s">
        <v>71</v>
      </c>
      <c r="E331" s="6">
        <v>3147559424</v>
      </c>
      <c r="F331" s="3" t="s">
        <v>72</v>
      </c>
      <c r="G331" s="64">
        <v>11</v>
      </c>
      <c r="H331" s="15" t="s">
        <v>536</v>
      </c>
      <c r="I331" s="40" t="s">
        <v>74</v>
      </c>
      <c r="J331" s="63" t="s">
        <v>75</v>
      </c>
      <c r="K331" s="58" t="s">
        <v>537</v>
      </c>
      <c r="L331" s="75">
        <v>53</v>
      </c>
      <c r="M331" s="82">
        <v>29</v>
      </c>
      <c r="N331" s="84">
        <f>(Tabela1[[#This Row],[SIMULADO 2 NOTA]]-Tabela1[[#This Row],[SIMULADO 1 - NOTA]])</f>
        <v>-24</v>
      </c>
      <c r="O331" s="72"/>
      <c r="P331" s="72"/>
      <c r="Q331" s="72"/>
      <c r="R331" s="72"/>
      <c r="S331" s="72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34"/>
      <c r="BP331" s="22"/>
    </row>
    <row r="332" spans="1:68" s="3" customFormat="1" ht="25.5" customHeight="1">
      <c r="A332" s="22" t="s">
        <v>69</v>
      </c>
      <c r="B332" s="3">
        <v>32695942</v>
      </c>
      <c r="C332" s="3" t="s">
        <v>70</v>
      </c>
      <c r="D332" s="3" t="s">
        <v>71</v>
      </c>
      <c r="E332" s="6">
        <v>9183203486</v>
      </c>
      <c r="F332" s="3" t="s">
        <v>72</v>
      </c>
      <c r="G332" s="64">
        <v>7</v>
      </c>
      <c r="H332" s="3" t="s">
        <v>538</v>
      </c>
      <c r="I332" s="41"/>
      <c r="J332" s="63" t="s">
        <v>77</v>
      </c>
      <c r="K332" s="57"/>
      <c r="L332" s="76">
        <v>0</v>
      </c>
      <c r="M332" s="81">
        <v>40</v>
      </c>
      <c r="N332" s="79">
        <f>(Tabela1[[#This Row],[SIMULADO 2 NOTA]]-Tabela1[[#This Row],[SIMULADO 1 - NOTA]])</f>
        <v>40</v>
      </c>
      <c r="O332" s="53"/>
      <c r="P332" s="53"/>
      <c r="Q332" s="53"/>
      <c r="R332" s="53"/>
      <c r="S332" s="53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34"/>
      <c r="BP332" s="22"/>
    </row>
    <row r="333" spans="1:68" s="3" customFormat="1" ht="25.5" customHeight="1">
      <c r="A333" s="22" t="s">
        <v>69</v>
      </c>
      <c r="B333" s="3">
        <v>32820445</v>
      </c>
      <c r="C333" s="3" t="s">
        <v>70</v>
      </c>
      <c r="D333" s="3" t="s">
        <v>71</v>
      </c>
      <c r="E333" s="6">
        <v>71333198450</v>
      </c>
      <c r="F333" s="3" t="s">
        <v>91</v>
      </c>
      <c r="G333" s="64">
        <v>7</v>
      </c>
      <c r="H333" s="3" t="s">
        <v>539</v>
      </c>
      <c r="I333" s="41"/>
      <c r="J333" s="63" t="s">
        <v>77</v>
      </c>
      <c r="K333" s="57"/>
      <c r="L333" s="76">
        <v>0</v>
      </c>
      <c r="M333" s="81">
        <v>38</v>
      </c>
      <c r="N333" s="79">
        <f>(Tabela1[[#This Row],[SIMULADO 2 NOTA]]-Tabela1[[#This Row],[SIMULADO 1 - NOTA]])</f>
        <v>38</v>
      </c>
      <c r="O333" s="69"/>
      <c r="P333" s="69"/>
      <c r="Q333" s="69"/>
      <c r="R333" s="69"/>
      <c r="S333" s="69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34"/>
      <c r="BP333" s="22"/>
    </row>
    <row r="334" spans="1:68" s="3" customFormat="1" ht="25.5" customHeight="1">
      <c r="A334" s="22" t="s">
        <v>69</v>
      </c>
      <c r="B334" s="3">
        <v>26402190</v>
      </c>
      <c r="C334" s="3" t="s">
        <v>70</v>
      </c>
      <c r="D334" s="3" t="s">
        <v>71</v>
      </c>
      <c r="E334" s="6">
        <v>8213594444</v>
      </c>
      <c r="F334" s="3" t="s">
        <v>72</v>
      </c>
      <c r="G334" s="64">
        <v>11</v>
      </c>
      <c r="H334" s="3" t="s">
        <v>540</v>
      </c>
      <c r="I334" s="41"/>
      <c r="J334" s="63" t="s">
        <v>77</v>
      </c>
      <c r="K334" s="58" t="s">
        <v>183</v>
      </c>
      <c r="L334" s="75">
        <v>65</v>
      </c>
      <c r="M334" s="82">
        <v>59</v>
      </c>
      <c r="N334" s="84">
        <f>(Tabela1[[#This Row],[SIMULADO 2 NOTA]]-Tabela1[[#This Row],[SIMULADO 1 - NOTA]])</f>
        <v>-6</v>
      </c>
      <c r="O334" s="78"/>
      <c r="P334" s="78"/>
      <c r="Q334" s="78"/>
      <c r="R334" s="78"/>
      <c r="S334" s="78"/>
      <c r="T334" s="68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34"/>
      <c r="BP334" s="22"/>
    </row>
    <row r="335" spans="1:68" s="3" customFormat="1" ht="25.5" hidden="1" customHeight="1">
      <c r="A335" s="22" t="s">
        <v>69</v>
      </c>
      <c r="B335" s="5">
        <v>33488266</v>
      </c>
      <c r="C335" s="3" t="s">
        <v>70</v>
      </c>
      <c r="D335" s="3" t="s">
        <v>71</v>
      </c>
      <c r="E335" s="6">
        <v>70222600446</v>
      </c>
      <c r="F335" s="3" t="s">
        <v>78</v>
      </c>
      <c r="G335" s="64">
        <v>7</v>
      </c>
      <c r="H335" s="8" t="s">
        <v>541</v>
      </c>
      <c r="I335" s="42" t="s">
        <v>80</v>
      </c>
      <c r="J335" s="63" t="s">
        <v>77</v>
      </c>
      <c r="K335" s="58" t="s">
        <v>453</v>
      </c>
      <c r="L335" s="76">
        <v>0</v>
      </c>
      <c r="M335" s="81">
        <v>0</v>
      </c>
      <c r="N335" s="81">
        <f>(Tabela1[[#This Row],[SIMULADO 2 NOTA]]-Tabela1[[#This Row],[SIMULADO 1 - NOTA]])</f>
        <v>0</v>
      </c>
      <c r="O335" s="70"/>
      <c r="P335" s="70"/>
      <c r="Q335" s="70"/>
      <c r="R335" s="70"/>
      <c r="S335" s="70"/>
      <c r="T335" s="7"/>
      <c r="U335" s="7"/>
      <c r="V335" s="7"/>
      <c r="W335" s="7"/>
      <c r="X335" s="7">
        <v>4.5</v>
      </c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34"/>
      <c r="BP335" s="22"/>
    </row>
    <row r="336" spans="1:68" s="3" customFormat="1" ht="25.5" customHeight="1">
      <c r="A336" s="22" t="s">
        <v>69</v>
      </c>
      <c r="B336" s="3">
        <v>32770006</v>
      </c>
      <c r="C336" s="3" t="s">
        <v>70</v>
      </c>
      <c r="D336" s="3" t="s">
        <v>71</v>
      </c>
      <c r="E336" s="6">
        <v>70873548418</v>
      </c>
      <c r="F336" s="3" t="s">
        <v>91</v>
      </c>
      <c r="G336" s="64">
        <v>7</v>
      </c>
      <c r="H336" s="3" t="s">
        <v>542</v>
      </c>
      <c r="I336" s="41"/>
      <c r="J336" s="63" t="s">
        <v>77</v>
      </c>
      <c r="K336" s="57"/>
      <c r="L336" s="76">
        <v>0</v>
      </c>
      <c r="M336" s="81">
        <v>40</v>
      </c>
      <c r="N336" s="79">
        <f>(Tabela1[[#This Row],[SIMULADO 2 NOTA]]-Tabela1[[#This Row],[SIMULADO 1 - NOTA]])</f>
        <v>40</v>
      </c>
      <c r="O336" s="69"/>
      <c r="P336" s="69"/>
      <c r="Q336" s="69"/>
      <c r="R336" s="69"/>
      <c r="S336" s="69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34"/>
      <c r="BP336" s="22"/>
    </row>
    <row r="337" spans="1:68" s="3" customFormat="1" ht="25.5" customHeight="1">
      <c r="A337" s="22" t="s">
        <v>69</v>
      </c>
      <c r="B337" s="3">
        <v>31285121</v>
      </c>
      <c r="C337" s="3" t="s">
        <v>70</v>
      </c>
      <c r="D337" s="3" t="s">
        <v>71</v>
      </c>
      <c r="E337" s="6">
        <v>1386929476</v>
      </c>
      <c r="F337" s="3" t="s">
        <v>82</v>
      </c>
      <c r="G337" s="64">
        <v>11</v>
      </c>
      <c r="H337" s="3" t="s">
        <v>543</v>
      </c>
      <c r="I337" s="41"/>
      <c r="J337" s="63" t="s">
        <v>77</v>
      </c>
      <c r="K337" s="58" t="s">
        <v>377</v>
      </c>
      <c r="L337" s="75">
        <v>61</v>
      </c>
      <c r="M337" s="82">
        <v>49</v>
      </c>
      <c r="N337" s="84">
        <f>(Tabela1[[#This Row],[SIMULADO 2 NOTA]]-Tabela1[[#This Row],[SIMULADO 1 - NOTA]])</f>
        <v>-12</v>
      </c>
      <c r="O337" s="78"/>
      <c r="P337" s="78"/>
      <c r="Q337" s="78"/>
      <c r="R337" s="78"/>
      <c r="S337" s="78"/>
      <c r="T337" s="68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34"/>
      <c r="BP337" s="22"/>
    </row>
    <row r="338" spans="1:68" s="3" customFormat="1" ht="25.5" hidden="1" customHeight="1">
      <c r="A338" s="22" t="s">
        <v>69</v>
      </c>
      <c r="B338" s="3">
        <v>32777604</v>
      </c>
      <c r="C338" s="3" t="s">
        <v>70</v>
      </c>
      <c r="D338" s="3" t="s">
        <v>71</v>
      </c>
      <c r="E338" s="6">
        <v>8271948466</v>
      </c>
      <c r="F338" s="3" t="s">
        <v>82</v>
      </c>
      <c r="G338" s="64">
        <v>7</v>
      </c>
      <c r="H338" s="3" t="s">
        <v>544</v>
      </c>
      <c r="I338" s="41"/>
      <c r="J338" s="63" t="s">
        <v>77</v>
      </c>
      <c r="K338" s="57"/>
      <c r="L338" s="76">
        <v>0</v>
      </c>
      <c r="M338" s="81">
        <v>0</v>
      </c>
      <c r="N338" s="81">
        <f>(Tabela1[[#This Row],[SIMULADO 2 NOTA]]-Tabela1[[#This Row],[SIMULADO 1 - NOTA]])</f>
        <v>0</v>
      </c>
      <c r="O338" s="73"/>
      <c r="P338" s="73"/>
      <c r="Q338" s="73"/>
      <c r="R338" s="73"/>
      <c r="S338" s="73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34"/>
      <c r="BP338" s="22"/>
    </row>
    <row r="339" spans="1:68" s="3" customFormat="1" ht="25.5" customHeight="1">
      <c r="A339" s="22" t="s">
        <v>69</v>
      </c>
      <c r="B339" s="3">
        <v>25489224</v>
      </c>
      <c r="C339" s="3" t="s">
        <v>70</v>
      </c>
      <c r="D339" s="3" t="s">
        <v>71</v>
      </c>
      <c r="E339" s="6">
        <v>1680664409</v>
      </c>
      <c r="F339" s="3" t="s">
        <v>72</v>
      </c>
      <c r="G339" s="64">
        <v>11</v>
      </c>
      <c r="H339" s="15" t="s">
        <v>545</v>
      </c>
      <c r="I339" s="40" t="s">
        <v>74</v>
      </c>
      <c r="J339" s="63" t="s">
        <v>77</v>
      </c>
      <c r="K339" s="58" t="s">
        <v>99</v>
      </c>
      <c r="L339" s="75">
        <v>57</v>
      </c>
      <c r="M339" s="82">
        <v>44</v>
      </c>
      <c r="N339" s="84">
        <f>(Tabela1[[#This Row],[SIMULADO 2 NOTA]]-Tabela1[[#This Row],[SIMULADO 1 - NOTA]])</f>
        <v>-13</v>
      </c>
      <c r="O339" s="78"/>
      <c r="P339" s="78"/>
      <c r="Q339" s="78"/>
      <c r="R339" s="78"/>
      <c r="S339" s="78"/>
      <c r="T339" s="68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34"/>
      <c r="BP339" s="22"/>
    </row>
    <row r="340" spans="1:68" s="3" customFormat="1" ht="25.5" hidden="1" customHeight="1">
      <c r="A340" s="22" t="s">
        <v>69</v>
      </c>
      <c r="B340" s="3">
        <v>32742941</v>
      </c>
      <c r="C340" s="3" t="s">
        <v>70</v>
      </c>
      <c r="D340" s="3" t="s">
        <v>71</v>
      </c>
      <c r="E340" s="6">
        <v>10069349444</v>
      </c>
      <c r="F340" s="3" t="s">
        <v>72</v>
      </c>
      <c r="G340" s="64">
        <v>7</v>
      </c>
      <c r="H340" s="3" t="s">
        <v>546</v>
      </c>
      <c r="I340" s="41"/>
      <c r="J340" s="63" t="s">
        <v>77</v>
      </c>
      <c r="K340" s="57"/>
      <c r="L340" s="76">
        <v>0</v>
      </c>
      <c r="M340" s="81">
        <v>0</v>
      </c>
      <c r="N340" s="81">
        <f>(Tabela1[[#This Row],[SIMULADO 2 NOTA]]-Tabela1[[#This Row],[SIMULADO 1 - NOTA]])</f>
        <v>0</v>
      </c>
      <c r="O340" s="70"/>
      <c r="P340" s="70"/>
      <c r="Q340" s="70"/>
      <c r="R340" s="70"/>
      <c r="S340" s="70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34"/>
      <c r="BP340" s="22"/>
    </row>
    <row r="341" spans="1:68" s="3" customFormat="1" ht="25.5" hidden="1" customHeight="1">
      <c r="A341" s="22" t="s">
        <v>69</v>
      </c>
      <c r="B341" s="5">
        <v>33695385</v>
      </c>
      <c r="C341" s="3" t="s">
        <v>70</v>
      </c>
      <c r="D341" s="3" t="s">
        <v>71</v>
      </c>
      <c r="E341" s="6">
        <v>11240545452</v>
      </c>
      <c r="F341" s="3" t="s">
        <v>78</v>
      </c>
      <c r="G341" s="64">
        <v>7</v>
      </c>
      <c r="H341" s="3" t="s">
        <v>547</v>
      </c>
      <c r="I341" s="41"/>
      <c r="J341" s="63" t="s">
        <v>77</v>
      </c>
      <c r="K341" s="57"/>
      <c r="L341" s="76">
        <v>0</v>
      </c>
      <c r="M341" s="81">
        <v>0</v>
      </c>
      <c r="N341" s="81">
        <f>(Tabela1[[#This Row],[SIMULADO 2 NOTA]]-Tabela1[[#This Row],[SIMULADO 1 - NOTA]])</f>
        <v>0</v>
      </c>
      <c r="O341" s="69"/>
      <c r="P341" s="69"/>
      <c r="Q341" s="69"/>
      <c r="R341" s="69"/>
      <c r="S341" s="69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34"/>
      <c r="BP341" s="22"/>
    </row>
    <row r="342" spans="1:68" s="3" customFormat="1" ht="25.5" customHeight="1">
      <c r="A342" s="22" t="s">
        <v>69</v>
      </c>
      <c r="B342" s="3">
        <v>25604228</v>
      </c>
      <c r="C342" s="3" t="s">
        <v>70</v>
      </c>
      <c r="D342" s="3" t="s">
        <v>71</v>
      </c>
      <c r="E342" s="6">
        <v>70880168420</v>
      </c>
      <c r="F342" s="3" t="s">
        <v>72</v>
      </c>
      <c r="G342" s="64">
        <v>11</v>
      </c>
      <c r="H342" s="18" t="s">
        <v>548</v>
      </c>
      <c r="I342" s="43" t="s">
        <v>84</v>
      </c>
      <c r="J342" s="63" t="s">
        <v>77</v>
      </c>
      <c r="K342" s="58" t="s">
        <v>471</v>
      </c>
      <c r="L342" s="75">
        <v>42</v>
      </c>
      <c r="M342" s="82">
        <v>49</v>
      </c>
      <c r="N342" s="92">
        <f>(Tabela1[[#This Row],[SIMULADO 2 NOTA]]-Tabela1[[#This Row],[SIMULADO 1 - NOTA]])</f>
        <v>7</v>
      </c>
      <c r="O342" s="78"/>
      <c r="P342" s="78"/>
      <c r="Q342" s="78"/>
      <c r="R342" s="78"/>
      <c r="S342" s="78"/>
      <c r="T342" s="68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34"/>
      <c r="BP342" s="22"/>
    </row>
    <row r="343" spans="1:68" s="3" customFormat="1" ht="25.5" customHeight="1">
      <c r="A343" s="22" t="s">
        <v>69</v>
      </c>
      <c r="B343" s="3">
        <v>28967097</v>
      </c>
      <c r="C343" s="3" t="s">
        <v>70</v>
      </c>
      <c r="D343" s="3" t="s">
        <v>71</v>
      </c>
      <c r="E343" s="6">
        <v>8373557458</v>
      </c>
      <c r="F343" s="3" t="s">
        <v>72</v>
      </c>
      <c r="G343" s="64">
        <v>9</v>
      </c>
      <c r="H343" s="3" t="s">
        <v>549</v>
      </c>
      <c r="I343" s="41"/>
      <c r="J343" s="63" t="s">
        <v>75</v>
      </c>
      <c r="K343" s="58" t="s">
        <v>550</v>
      </c>
      <c r="L343" s="76">
        <v>0</v>
      </c>
      <c r="M343" s="81">
        <v>39</v>
      </c>
      <c r="N343" s="79">
        <f>(Tabela1[[#This Row],[SIMULADO 2 NOTA]]-Tabela1[[#This Row],[SIMULADO 1 - NOTA]])</f>
        <v>39</v>
      </c>
      <c r="O343" s="73"/>
      <c r="P343" s="73"/>
      <c r="Q343" s="73"/>
      <c r="R343" s="73"/>
      <c r="S343" s="73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34"/>
      <c r="BP343" s="22"/>
    </row>
    <row r="344" spans="1:68" s="3" customFormat="1" ht="25.5" customHeight="1">
      <c r="A344" s="22" t="s">
        <v>69</v>
      </c>
      <c r="B344" s="3">
        <v>25490427</v>
      </c>
      <c r="C344" s="3" t="s">
        <v>70</v>
      </c>
      <c r="D344" s="3" t="s">
        <v>71</v>
      </c>
      <c r="E344" s="6">
        <v>6673051493</v>
      </c>
      <c r="F344" s="3" t="s">
        <v>72</v>
      </c>
      <c r="G344" s="64">
        <v>11</v>
      </c>
      <c r="H344" s="3" t="s">
        <v>551</v>
      </c>
      <c r="I344" s="41"/>
      <c r="J344" s="63" t="s">
        <v>77</v>
      </c>
      <c r="K344" s="58" t="s">
        <v>552</v>
      </c>
      <c r="L344" s="75">
        <v>67</v>
      </c>
      <c r="M344" s="82">
        <v>63</v>
      </c>
      <c r="N344" s="84">
        <f>(Tabela1[[#This Row],[SIMULADO 2 NOTA]]-Tabela1[[#This Row],[SIMULADO 1 - NOTA]])</f>
        <v>-4</v>
      </c>
      <c r="O344" s="78"/>
      <c r="P344" s="78"/>
      <c r="Q344" s="78"/>
      <c r="R344" s="78"/>
      <c r="S344" s="78"/>
      <c r="T344" s="68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34"/>
      <c r="BP344" s="22"/>
    </row>
    <row r="345" spans="1:68" s="3" customFormat="1" ht="25.5" customHeight="1">
      <c r="A345" s="22" t="s">
        <v>69</v>
      </c>
      <c r="B345" s="3">
        <v>26407973</v>
      </c>
      <c r="C345" s="3" t="s">
        <v>70</v>
      </c>
      <c r="D345" s="3" t="s">
        <v>71</v>
      </c>
      <c r="E345" s="6">
        <v>11996344412</v>
      </c>
      <c r="F345" s="3" t="s">
        <v>72</v>
      </c>
      <c r="G345" s="64">
        <v>11</v>
      </c>
      <c r="H345" s="18" t="s">
        <v>553</v>
      </c>
      <c r="I345" s="43" t="s">
        <v>84</v>
      </c>
      <c r="J345" s="63" t="s">
        <v>77</v>
      </c>
      <c r="K345" s="58" t="s">
        <v>120</v>
      </c>
      <c r="L345" s="75">
        <v>40</v>
      </c>
      <c r="M345" s="82">
        <v>41</v>
      </c>
      <c r="N345" s="92">
        <f>(Tabela1[[#This Row],[SIMULADO 2 NOTA]]-Tabela1[[#This Row],[SIMULADO 1 - NOTA]])</f>
        <v>1</v>
      </c>
      <c r="O345" s="78"/>
      <c r="P345" s="78"/>
      <c r="Q345" s="78"/>
      <c r="R345" s="78"/>
      <c r="S345" s="78"/>
      <c r="T345" s="68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34"/>
      <c r="BP345" s="22"/>
    </row>
    <row r="346" spans="1:68" s="3" customFormat="1" ht="25.5" hidden="1" customHeight="1">
      <c r="A346" s="22" t="s">
        <v>69</v>
      </c>
      <c r="B346" s="3">
        <v>32678321</v>
      </c>
      <c r="C346" s="3" t="s">
        <v>70</v>
      </c>
      <c r="D346" s="3" t="s">
        <v>71</v>
      </c>
      <c r="E346" s="6">
        <v>15001128447</v>
      </c>
      <c r="F346" s="3" t="s">
        <v>72</v>
      </c>
      <c r="G346" s="64">
        <v>7</v>
      </c>
      <c r="H346" s="8" t="s">
        <v>554</v>
      </c>
      <c r="I346" s="42" t="s">
        <v>80</v>
      </c>
      <c r="J346" s="63" t="s">
        <v>77</v>
      </c>
      <c r="K346" s="58" t="s">
        <v>272</v>
      </c>
      <c r="L346" s="76">
        <v>0</v>
      </c>
      <c r="M346" s="81">
        <v>0</v>
      </c>
      <c r="N346" s="81">
        <f>(Tabela1[[#This Row],[SIMULADO 2 NOTA]]-Tabela1[[#This Row],[SIMULADO 1 - NOTA]])</f>
        <v>0</v>
      </c>
      <c r="O346" s="70"/>
      <c r="P346" s="70"/>
      <c r="Q346" s="70"/>
      <c r="R346" s="70"/>
      <c r="S346" s="70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>
        <v>0</v>
      </c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34"/>
      <c r="BP346" s="22"/>
    </row>
    <row r="347" spans="1:68" s="3" customFormat="1" ht="25.5" customHeight="1">
      <c r="A347" s="22" t="s">
        <v>69</v>
      </c>
      <c r="B347" s="3">
        <v>32695292</v>
      </c>
      <c r="C347" s="3" t="s">
        <v>70</v>
      </c>
      <c r="D347" s="3" t="s">
        <v>71</v>
      </c>
      <c r="E347" s="6">
        <v>70154942480</v>
      </c>
      <c r="F347" s="3" t="s">
        <v>72</v>
      </c>
      <c r="G347" s="64">
        <v>7</v>
      </c>
      <c r="H347" s="3" t="s">
        <v>555</v>
      </c>
      <c r="I347" s="41"/>
      <c r="J347" s="63" t="s">
        <v>77</v>
      </c>
      <c r="K347" s="57"/>
      <c r="L347" s="76">
        <v>0</v>
      </c>
      <c r="M347" s="81">
        <v>43</v>
      </c>
      <c r="N347" s="79">
        <f>(Tabela1[[#This Row],[SIMULADO 2 NOTA]]-Tabela1[[#This Row],[SIMULADO 1 - NOTA]])</f>
        <v>43</v>
      </c>
      <c r="O347" s="69"/>
      <c r="P347" s="69"/>
      <c r="Q347" s="69"/>
      <c r="R347" s="69"/>
      <c r="S347" s="69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34"/>
      <c r="BP347" s="22"/>
    </row>
    <row r="348" spans="1:68" s="3" customFormat="1" ht="25.5" customHeight="1">
      <c r="A348" s="22" t="s">
        <v>69</v>
      </c>
      <c r="B348" s="3">
        <v>25493531</v>
      </c>
      <c r="C348" s="3" t="s">
        <v>70</v>
      </c>
      <c r="D348" s="3" t="s">
        <v>71</v>
      </c>
      <c r="E348" s="6">
        <v>86282322570</v>
      </c>
      <c r="F348" s="3" t="s">
        <v>72</v>
      </c>
      <c r="G348" s="64">
        <v>11</v>
      </c>
      <c r="H348" s="3" t="s">
        <v>556</v>
      </c>
      <c r="I348" s="41"/>
      <c r="J348" s="63" t="s">
        <v>77</v>
      </c>
      <c r="K348" s="58" t="s">
        <v>230</v>
      </c>
      <c r="L348" s="75">
        <v>70</v>
      </c>
      <c r="M348" s="82">
        <v>68</v>
      </c>
      <c r="N348" s="84">
        <f>(Tabela1[[#This Row],[SIMULADO 2 NOTA]]-Tabela1[[#This Row],[SIMULADO 1 - NOTA]])</f>
        <v>-2</v>
      </c>
      <c r="O348" s="78"/>
      <c r="P348" s="78"/>
      <c r="Q348" s="78"/>
      <c r="R348" s="78"/>
      <c r="S348" s="78"/>
      <c r="T348" s="68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34"/>
      <c r="BP348" s="22"/>
    </row>
    <row r="349" spans="1:68" s="3" customFormat="1" ht="25.5" customHeight="1">
      <c r="A349" s="22" t="s">
        <v>69</v>
      </c>
      <c r="B349" s="3">
        <v>29000939</v>
      </c>
      <c r="C349" s="3" t="s">
        <v>70</v>
      </c>
      <c r="D349" s="3" t="s">
        <v>71</v>
      </c>
      <c r="E349" s="6">
        <v>10756887445</v>
      </c>
      <c r="F349" s="3" t="s">
        <v>72</v>
      </c>
      <c r="G349" s="64">
        <v>9</v>
      </c>
      <c r="H349" s="15" t="s">
        <v>557</v>
      </c>
      <c r="I349" s="40" t="s">
        <v>74</v>
      </c>
      <c r="J349" s="63" t="s">
        <v>75</v>
      </c>
      <c r="K349" s="58" t="s">
        <v>558</v>
      </c>
      <c r="L349" s="75">
        <v>54</v>
      </c>
      <c r="M349" s="81">
        <v>45</v>
      </c>
      <c r="N349" s="84">
        <f>(Tabela1[[#This Row],[SIMULADO 2 NOTA]]-Tabela1[[#This Row],[SIMULADO 1 - NOTA]])</f>
        <v>-9</v>
      </c>
      <c r="O349" s="72"/>
      <c r="P349" s="72"/>
      <c r="Q349" s="72"/>
      <c r="R349" s="72"/>
      <c r="S349" s="72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34"/>
      <c r="BP349" s="22"/>
    </row>
    <row r="350" spans="1:68" s="3" customFormat="1" ht="25.5" customHeight="1">
      <c r="A350" s="22" t="s">
        <v>69</v>
      </c>
      <c r="B350" s="3">
        <v>35564008</v>
      </c>
      <c r="C350" s="3" t="s">
        <v>70</v>
      </c>
      <c r="D350" s="3" t="s">
        <v>71</v>
      </c>
      <c r="E350" s="6">
        <v>5082991442</v>
      </c>
      <c r="F350" s="3" t="s">
        <v>72</v>
      </c>
      <c r="G350" s="64">
        <v>9</v>
      </c>
      <c r="H350" s="15" t="s">
        <v>559</v>
      </c>
      <c r="I350" s="40" t="s">
        <v>74</v>
      </c>
      <c r="J350" s="63" t="s">
        <v>75</v>
      </c>
      <c r="K350" s="58" t="s">
        <v>196</v>
      </c>
      <c r="L350" s="75">
        <v>58</v>
      </c>
      <c r="M350" s="81">
        <v>49</v>
      </c>
      <c r="N350" s="84">
        <f>(Tabela1[[#This Row],[SIMULADO 2 NOTA]]-Tabela1[[#This Row],[SIMULADO 1 - NOTA]])</f>
        <v>-9</v>
      </c>
      <c r="O350" s="54"/>
      <c r="P350" s="54"/>
      <c r="Q350" s="54"/>
      <c r="R350" s="54"/>
      <c r="S350" s="54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34"/>
      <c r="BP350" s="22"/>
    </row>
    <row r="351" spans="1:68" s="3" customFormat="1" ht="25.5" customHeight="1">
      <c r="A351" s="22" t="s">
        <v>69</v>
      </c>
      <c r="B351" s="3">
        <v>25576674</v>
      </c>
      <c r="C351" s="3" t="s">
        <v>70</v>
      </c>
      <c r="D351" s="3" t="s">
        <v>71</v>
      </c>
      <c r="E351" s="6">
        <v>4962593420</v>
      </c>
      <c r="F351" s="3" t="s">
        <v>72</v>
      </c>
      <c r="G351" s="64">
        <v>11</v>
      </c>
      <c r="H351" s="15" t="s">
        <v>560</v>
      </c>
      <c r="I351" s="40" t="s">
        <v>74</v>
      </c>
      <c r="J351" s="63" t="s">
        <v>77</v>
      </c>
      <c r="K351" s="58" t="s">
        <v>104</v>
      </c>
      <c r="L351" s="75">
        <v>56</v>
      </c>
      <c r="M351" s="82">
        <v>27</v>
      </c>
      <c r="N351" s="84">
        <f>(Tabela1[[#This Row],[SIMULADO 2 NOTA]]-Tabela1[[#This Row],[SIMULADO 1 - NOTA]])</f>
        <v>-29</v>
      </c>
      <c r="O351" s="78"/>
      <c r="P351" s="78"/>
      <c r="Q351" s="78"/>
      <c r="R351" s="78"/>
      <c r="S351" s="78"/>
      <c r="T351" s="68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34"/>
      <c r="BP351" s="22"/>
    </row>
    <row r="352" spans="1:68" s="3" customFormat="1" ht="25.5" customHeight="1">
      <c r="A352" s="22" t="s">
        <v>69</v>
      </c>
      <c r="B352" s="3">
        <v>28941811</v>
      </c>
      <c r="C352" s="3" t="s">
        <v>70</v>
      </c>
      <c r="D352" s="3" t="s">
        <v>71</v>
      </c>
      <c r="E352" s="6">
        <v>9990172412</v>
      </c>
      <c r="F352" s="3" t="s">
        <v>91</v>
      </c>
      <c r="G352" s="64">
        <v>9</v>
      </c>
      <c r="H352" s="15" t="s">
        <v>561</v>
      </c>
      <c r="I352" s="40" t="s">
        <v>74</v>
      </c>
      <c r="J352" s="63" t="s">
        <v>75</v>
      </c>
      <c r="K352" s="58" t="s">
        <v>212</v>
      </c>
      <c r="L352" s="75">
        <v>56</v>
      </c>
      <c r="M352" s="81">
        <v>48</v>
      </c>
      <c r="N352" s="84">
        <f>(Tabela1[[#This Row],[SIMULADO 2 NOTA]]-Tabela1[[#This Row],[SIMULADO 1 - NOTA]])</f>
        <v>-8</v>
      </c>
      <c r="O352" s="71"/>
      <c r="P352" s="71"/>
      <c r="Q352" s="71"/>
      <c r="R352" s="71"/>
      <c r="S352" s="71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34"/>
      <c r="BP352" s="22"/>
    </row>
    <row r="353" spans="1:68" s="3" customFormat="1" ht="25.5" customHeight="1">
      <c r="A353" s="22" t="s">
        <v>69</v>
      </c>
      <c r="B353" s="3">
        <v>25571508</v>
      </c>
      <c r="C353" s="3" t="s">
        <v>70</v>
      </c>
      <c r="D353" s="3" t="s">
        <v>71</v>
      </c>
      <c r="E353" s="6">
        <v>7298719408</v>
      </c>
      <c r="F353" s="3" t="s">
        <v>82</v>
      </c>
      <c r="G353" s="64">
        <v>11</v>
      </c>
      <c r="H353" s="15" t="s">
        <v>562</v>
      </c>
      <c r="I353" s="40" t="s">
        <v>74</v>
      </c>
      <c r="J353" s="63" t="s">
        <v>77</v>
      </c>
      <c r="K353" s="58" t="s">
        <v>278</v>
      </c>
      <c r="L353" s="75">
        <v>54</v>
      </c>
      <c r="M353" s="82">
        <v>43</v>
      </c>
      <c r="N353" s="84">
        <f>(Tabela1[[#This Row],[SIMULADO 2 NOTA]]-Tabela1[[#This Row],[SIMULADO 1 - NOTA]])</f>
        <v>-11</v>
      </c>
      <c r="O353" s="78"/>
      <c r="P353" s="78"/>
      <c r="Q353" s="78"/>
      <c r="R353" s="78"/>
      <c r="S353" s="78"/>
      <c r="T353" s="68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34"/>
      <c r="BP353" s="22"/>
    </row>
    <row r="354" spans="1:68" s="3" customFormat="1" ht="25.5" customHeight="1">
      <c r="A354" s="22" t="s">
        <v>69</v>
      </c>
      <c r="B354" s="3">
        <v>25065963</v>
      </c>
      <c r="C354" s="3" t="s">
        <v>70</v>
      </c>
      <c r="D354" s="3" t="s">
        <v>71</v>
      </c>
      <c r="E354" s="6">
        <v>9522515400</v>
      </c>
      <c r="F354" s="3" t="s">
        <v>72</v>
      </c>
      <c r="G354" s="64">
        <v>11</v>
      </c>
      <c r="H354" s="3" t="s">
        <v>563</v>
      </c>
      <c r="I354" s="41"/>
      <c r="J354" s="63" t="s">
        <v>77</v>
      </c>
      <c r="K354" s="58" t="s">
        <v>230</v>
      </c>
      <c r="L354" s="75">
        <v>70</v>
      </c>
      <c r="M354" s="82">
        <v>65</v>
      </c>
      <c r="N354" s="84">
        <f>(Tabela1[[#This Row],[SIMULADO 2 NOTA]]-Tabela1[[#This Row],[SIMULADO 1 - NOTA]])</f>
        <v>-5</v>
      </c>
      <c r="O354" s="78"/>
      <c r="P354" s="78"/>
      <c r="Q354" s="78"/>
      <c r="R354" s="78"/>
      <c r="S354" s="78"/>
      <c r="T354" s="68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34"/>
      <c r="BP354" s="22"/>
    </row>
    <row r="355" spans="1:68" s="3" customFormat="1" ht="25.5" customHeight="1">
      <c r="A355" s="22" t="s">
        <v>69</v>
      </c>
      <c r="B355" s="3">
        <v>31275907</v>
      </c>
      <c r="C355" s="3" t="s">
        <v>70</v>
      </c>
      <c r="D355" s="3" t="s">
        <v>71</v>
      </c>
      <c r="E355" s="6">
        <v>4597152407</v>
      </c>
      <c r="F355" s="3" t="s">
        <v>72</v>
      </c>
      <c r="G355" s="64">
        <v>11</v>
      </c>
      <c r="H355" s="3" t="s">
        <v>564</v>
      </c>
      <c r="I355" s="41"/>
      <c r="J355" s="63" t="s">
        <v>77</v>
      </c>
      <c r="K355" s="58" t="s">
        <v>565</v>
      </c>
      <c r="L355" s="75">
        <v>63</v>
      </c>
      <c r="M355" s="82">
        <v>50</v>
      </c>
      <c r="N355" s="84">
        <f>(Tabela1[[#This Row],[SIMULADO 2 NOTA]]-Tabela1[[#This Row],[SIMULADO 1 - NOTA]])</f>
        <v>-13</v>
      </c>
      <c r="O355" s="78"/>
      <c r="P355" s="78"/>
      <c r="Q355" s="78"/>
      <c r="R355" s="78"/>
      <c r="S355" s="78"/>
      <c r="T355" s="68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34"/>
      <c r="BP355" s="22"/>
    </row>
    <row r="356" spans="1:68" s="3" customFormat="1" ht="25.5" customHeight="1">
      <c r="A356" s="22" t="s">
        <v>69</v>
      </c>
      <c r="B356" s="3">
        <v>28944836</v>
      </c>
      <c r="C356" s="3" t="s">
        <v>70</v>
      </c>
      <c r="D356" s="3" t="s">
        <v>71</v>
      </c>
      <c r="E356" s="6">
        <v>10053618432</v>
      </c>
      <c r="F356" s="3" t="s">
        <v>72</v>
      </c>
      <c r="G356" s="64">
        <v>9</v>
      </c>
      <c r="H356" s="15" t="s">
        <v>566</v>
      </c>
      <c r="I356" s="40" t="s">
        <v>74</v>
      </c>
      <c r="J356" s="63" t="s">
        <v>75</v>
      </c>
      <c r="K356" s="58" t="s">
        <v>468</v>
      </c>
      <c r="L356" s="75">
        <v>59</v>
      </c>
      <c r="M356" s="81">
        <v>47</v>
      </c>
      <c r="N356" s="84">
        <f>(Tabela1[[#This Row],[SIMULADO 2 NOTA]]-Tabela1[[#This Row],[SIMULADO 1 - NOTA]])</f>
        <v>-12</v>
      </c>
      <c r="O356" s="71"/>
      <c r="P356" s="71"/>
      <c r="Q356" s="71"/>
      <c r="R356" s="71"/>
      <c r="S356" s="71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34"/>
      <c r="BP356" s="22"/>
    </row>
    <row r="357" spans="1:68" s="3" customFormat="1" ht="25.5" customHeight="1">
      <c r="A357" s="22" t="s">
        <v>69</v>
      </c>
      <c r="B357" s="3">
        <v>27694429</v>
      </c>
      <c r="C357" s="3" t="s">
        <v>70</v>
      </c>
      <c r="D357" s="3" t="s">
        <v>71</v>
      </c>
      <c r="E357" s="6">
        <v>7531172402</v>
      </c>
      <c r="F357" s="3" t="s">
        <v>72</v>
      </c>
      <c r="G357" s="64">
        <v>11</v>
      </c>
      <c r="H357" s="15" t="s">
        <v>567</v>
      </c>
      <c r="I357" s="40" t="s">
        <v>74</v>
      </c>
      <c r="J357" s="63" t="s">
        <v>77</v>
      </c>
      <c r="K357" s="58" t="s">
        <v>127</v>
      </c>
      <c r="L357" s="75">
        <v>54</v>
      </c>
      <c r="M357" s="82">
        <v>34</v>
      </c>
      <c r="N357" s="84">
        <f>(Tabela1[[#This Row],[SIMULADO 2 NOTA]]-Tabela1[[#This Row],[SIMULADO 1 - NOTA]])</f>
        <v>-20</v>
      </c>
      <c r="O357" s="78"/>
      <c r="P357" s="78"/>
      <c r="Q357" s="78"/>
      <c r="R357" s="78"/>
      <c r="S357" s="78"/>
      <c r="T357" s="68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34"/>
      <c r="BP357" s="22"/>
    </row>
    <row r="358" spans="1:68" s="3" customFormat="1" ht="25.5" customHeight="1">
      <c r="A358" s="22" t="s">
        <v>69</v>
      </c>
      <c r="B358" s="3">
        <v>28944453</v>
      </c>
      <c r="C358" s="3" t="s">
        <v>70</v>
      </c>
      <c r="D358" s="3" t="s">
        <v>71</v>
      </c>
      <c r="E358" s="6">
        <v>8779141412</v>
      </c>
      <c r="F358" s="3" t="s">
        <v>91</v>
      </c>
      <c r="G358" s="64">
        <v>9</v>
      </c>
      <c r="H358" s="15" t="s">
        <v>568</v>
      </c>
      <c r="I358" s="40" t="s">
        <v>74</v>
      </c>
      <c r="J358" s="63" t="s">
        <v>75</v>
      </c>
      <c r="K358" s="58" t="s">
        <v>569</v>
      </c>
      <c r="L358" s="75">
        <v>55</v>
      </c>
      <c r="M358" s="81">
        <v>49</v>
      </c>
      <c r="N358" s="84">
        <f>(Tabela1[[#This Row],[SIMULADO 2 NOTA]]-Tabela1[[#This Row],[SIMULADO 1 - NOTA]])</f>
        <v>-6</v>
      </c>
      <c r="O358" s="71"/>
      <c r="P358" s="71"/>
      <c r="Q358" s="71"/>
      <c r="R358" s="71"/>
      <c r="S358" s="71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34"/>
      <c r="BP358" s="22"/>
    </row>
    <row r="359" spans="1:68" s="3" customFormat="1" ht="25.5" customHeight="1">
      <c r="A359" s="22" t="s">
        <v>69</v>
      </c>
      <c r="B359" s="3">
        <v>31274781</v>
      </c>
      <c r="C359" s="3" t="s">
        <v>70</v>
      </c>
      <c r="D359" s="3" t="s">
        <v>71</v>
      </c>
      <c r="E359" s="6">
        <v>71437454488</v>
      </c>
      <c r="F359" s="3" t="s">
        <v>72</v>
      </c>
      <c r="G359" s="64">
        <v>11</v>
      </c>
      <c r="H359" s="15" t="s">
        <v>570</v>
      </c>
      <c r="I359" s="40" t="s">
        <v>74</v>
      </c>
      <c r="J359" s="63" t="s">
        <v>77</v>
      </c>
      <c r="K359" s="58" t="s">
        <v>164</v>
      </c>
      <c r="L359" s="75">
        <v>53</v>
      </c>
      <c r="M359" s="82">
        <v>44</v>
      </c>
      <c r="N359" s="84">
        <f>(Tabela1[[#This Row],[SIMULADO 2 NOTA]]-Tabela1[[#This Row],[SIMULADO 1 - NOTA]])</f>
        <v>-9</v>
      </c>
      <c r="O359" s="78"/>
      <c r="P359" s="78"/>
      <c r="Q359" s="78"/>
      <c r="R359" s="78"/>
      <c r="S359" s="78"/>
      <c r="T359" s="68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34"/>
      <c r="BP359" s="22"/>
    </row>
    <row r="360" spans="1:68" s="3" customFormat="1" ht="25.5" customHeight="1">
      <c r="A360" s="22" t="s">
        <v>69</v>
      </c>
      <c r="B360" s="3">
        <v>29774861</v>
      </c>
      <c r="C360" s="3" t="s">
        <v>70</v>
      </c>
      <c r="D360" s="3" t="s">
        <v>71</v>
      </c>
      <c r="E360" s="6">
        <v>16198487407</v>
      </c>
      <c r="F360" s="3" t="s">
        <v>72</v>
      </c>
      <c r="G360" s="64">
        <v>9</v>
      </c>
      <c r="H360" s="15" t="s">
        <v>571</v>
      </c>
      <c r="I360" s="40" t="s">
        <v>74</v>
      </c>
      <c r="J360" s="63" t="s">
        <v>75</v>
      </c>
      <c r="K360" s="58" t="s">
        <v>329</v>
      </c>
      <c r="L360" s="75">
        <v>53</v>
      </c>
      <c r="M360" s="81">
        <v>28</v>
      </c>
      <c r="N360" s="84">
        <f>(Tabela1[[#This Row],[SIMULADO 2 NOTA]]-Tabela1[[#This Row],[SIMULADO 1 - NOTA]])</f>
        <v>-25</v>
      </c>
      <c r="O360" s="72"/>
      <c r="P360" s="72"/>
      <c r="Q360" s="72"/>
      <c r="R360" s="72"/>
      <c r="S360" s="72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34"/>
      <c r="BP360" s="22"/>
    </row>
    <row r="361" spans="1:68" s="3" customFormat="1" ht="25.5" customHeight="1">
      <c r="A361" s="22" t="s">
        <v>69</v>
      </c>
      <c r="B361" s="3">
        <v>32651805</v>
      </c>
      <c r="C361" s="3" t="s">
        <v>70</v>
      </c>
      <c r="D361" s="3" t="s">
        <v>71</v>
      </c>
      <c r="E361" s="6">
        <v>12400816425</v>
      </c>
      <c r="F361" s="3" t="s">
        <v>72</v>
      </c>
      <c r="G361" s="64">
        <v>7</v>
      </c>
      <c r="H361" s="3" t="s">
        <v>572</v>
      </c>
      <c r="I361" s="41"/>
      <c r="J361" s="63" t="s">
        <v>77</v>
      </c>
      <c r="K361" s="57"/>
      <c r="L361" s="76">
        <v>0</v>
      </c>
      <c r="M361" s="81">
        <v>37</v>
      </c>
      <c r="N361" s="79">
        <f>(Tabela1[[#This Row],[SIMULADO 2 NOTA]]-Tabela1[[#This Row],[SIMULADO 1 - NOTA]])</f>
        <v>37</v>
      </c>
      <c r="O361" s="69"/>
      <c r="P361" s="69"/>
      <c r="Q361" s="69"/>
      <c r="R361" s="69"/>
      <c r="S361" s="69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34"/>
      <c r="BP361" s="22"/>
    </row>
    <row r="362" spans="1:68" s="3" customFormat="1" ht="25.5" customHeight="1">
      <c r="A362" s="22" t="s">
        <v>69</v>
      </c>
      <c r="B362" s="3">
        <v>29209391</v>
      </c>
      <c r="C362" s="3" t="s">
        <v>70</v>
      </c>
      <c r="D362" s="3" t="s">
        <v>71</v>
      </c>
      <c r="E362" s="6">
        <v>11786686490</v>
      </c>
      <c r="F362" s="3" t="s">
        <v>72</v>
      </c>
      <c r="G362" s="64">
        <v>11</v>
      </c>
      <c r="H362" s="15" t="s">
        <v>573</v>
      </c>
      <c r="I362" s="40" t="s">
        <v>74</v>
      </c>
      <c r="J362" s="63" t="s">
        <v>77</v>
      </c>
      <c r="K362" s="58" t="s">
        <v>574</v>
      </c>
      <c r="L362" s="75">
        <v>59</v>
      </c>
      <c r="M362" s="82">
        <v>52</v>
      </c>
      <c r="N362" s="84">
        <f>(Tabela1[[#This Row],[SIMULADO 2 NOTA]]-Tabela1[[#This Row],[SIMULADO 1 - NOTA]])</f>
        <v>-7</v>
      </c>
      <c r="O362" s="78"/>
      <c r="P362" s="78"/>
      <c r="Q362" s="78"/>
      <c r="R362" s="78"/>
      <c r="S362" s="78"/>
      <c r="T362" s="68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34"/>
      <c r="BP362" s="22"/>
    </row>
    <row r="363" spans="1:68" s="3" customFormat="1" ht="25.5" customHeight="1">
      <c r="A363" s="22" t="s">
        <v>69</v>
      </c>
      <c r="B363" s="3">
        <v>30749557</v>
      </c>
      <c r="C363" s="3" t="s">
        <v>70</v>
      </c>
      <c r="D363" s="3" t="s">
        <v>71</v>
      </c>
      <c r="E363" s="6">
        <v>14422911414</v>
      </c>
      <c r="F363" s="3" t="s">
        <v>72</v>
      </c>
      <c r="G363" s="64">
        <v>9</v>
      </c>
      <c r="H363" s="3" t="s">
        <v>575</v>
      </c>
      <c r="I363" s="41"/>
      <c r="J363" s="63" t="s">
        <v>75</v>
      </c>
      <c r="K363" s="58" t="s">
        <v>266</v>
      </c>
      <c r="L363" s="75">
        <v>83</v>
      </c>
      <c r="M363" s="81">
        <v>70</v>
      </c>
      <c r="N363" s="84">
        <f>(Tabela1[[#This Row],[SIMULADO 2 NOTA]]-Tabela1[[#This Row],[SIMULADO 1 - NOTA]])</f>
        <v>-13</v>
      </c>
      <c r="O363" s="72"/>
      <c r="P363" s="72"/>
      <c r="Q363" s="72"/>
      <c r="R363" s="72"/>
      <c r="S363" s="72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34"/>
      <c r="BP363" s="22"/>
    </row>
    <row r="364" spans="1:68" s="3" customFormat="1" ht="25.5" customHeight="1">
      <c r="A364" s="22" t="s">
        <v>69</v>
      </c>
      <c r="B364" s="3">
        <v>29004578</v>
      </c>
      <c r="C364" s="3" t="s">
        <v>70</v>
      </c>
      <c r="D364" s="3" t="s">
        <v>71</v>
      </c>
      <c r="E364" s="6">
        <v>8791132436</v>
      </c>
      <c r="F364" s="3" t="s">
        <v>91</v>
      </c>
      <c r="G364" s="64">
        <v>9</v>
      </c>
      <c r="H364" s="15" t="s">
        <v>576</v>
      </c>
      <c r="I364" s="40" t="s">
        <v>74</v>
      </c>
      <c r="J364" s="63" t="s">
        <v>75</v>
      </c>
      <c r="K364" s="58" t="s">
        <v>209</v>
      </c>
      <c r="L364" s="75">
        <v>59</v>
      </c>
      <c r="M364" s="81">
        <v>48</v>
      </c>
      <c r="N364" s="84">
        <f>(Tabela1[[#This Row],[SIMULADO 2 NOTA]]-Tabela1[[#This Row],[SIMULADO 1 - NOTA]])</f>
        <v>-11</v>
      </c>
      <c r="O364" s="52"/>
      <c r="P364" s="52"/>
      <c r="Q364" s="52"/>
      <c r="R364" s="52"/>
      <c r="S364" s="52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34"/>
      <c r="BP364" s="22"/>
    </row>
    <row r="365" spans="1:68" s="3" customFormat="1" ht="25.5" customHeight="1">
      <c r="A365" s="22" t="s">
        <v>69</v>
      </c>
      <c r="B365" s="3">
        <v>30333211</v>
      </c>
      <c r="C365" s="3" t="s">
        <v>70</v>
      </c>
      <c r="D365" s="3" t="s">
        <v>71</v>
      </c>
      <c r="E365" s="6">
        <v>7708796407</v>
      </c>
      <c r="F365" s="3" t="s">
        <v>82</v>
      </c>
      <c r="G365" s="64">
        <v>9</v>
      </c>
      <c r="H365" s="3" t="s">
        <v>577</v>
      </c>
      <c r="I365" s="41"/>
      <c r="J365" s="63" t="s">
        <v>75</v>
      </c>
      <c r="K365" s="58" t="s">
        <v>484</v>
      </c>
      <c r="L365" s="75">
        <v>62</v>
      </c>
      <c r="M365" s="81">
        <v>54</v>
      </c>
      <c r="N365" s="84">
        <f>(Tabela1[[#This Row],[SIMULADO 2 NOTA]]-Tabela1[[#This Row],[SIMULADO 1 - NOTA]])</f>
        <v>-8</v>
      </c>
      <c r="O365" s="52"/>
      <c r="P365" s="52"/>
      <c r="Q365" s="52"/>
      <c r="R365" s="52"/>
      <c r="S365" s="52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34"/>
      <c r="BP365" s="22"/>
    </row>
    <row r="366" spans="1:68" s="3" customFormat="1" ht="25.5" customHeight="1">
      <c r="A366" s="22" t="s">
        <v>69</v>
      </c>
      <c r="B366" s="3">
        <v>29257191</v>
      </c>
      <c r="C366" s="3" t="s">
        <v>70</v>
      </c>
      <c r="D366" s="3" t="s">
        <v>71</v>
      </c>
      <c r="E366" s="6">
        <v>70020198485</v>
      </c>
      <c r="F366" s="3" t="s">
        <v>82</v>
      </c>
      <c r="G366" s="64">
        <v>9</v>
      </c>
      <c r="H366" s="3" t="s">
        <v>578</v>
      </c>
      <c r="I366" s="41"/>
      <c r="J366" s="63" t="s">
        <v>75</v>
      </c>
      <c r="K366" s="58" t="s">
        <v>196</v>
      </c>
      <c r="L366" s="75">
        <v>64</v>
      </c>
      <c r="M366" s="81">
        <v>48</v>
      </c>
      <c r="N366" s="84">
        <f>(Tabela1[[#This Row],[SIMULADO 2 NOTA]]-Tabela1[[#This Row],[SIMULADO 1 - NOTA]])</f>
        <v>-16</v>
      </c>
      <c r="O366" s="54"/>
      <c r="P366" s="54"/>
      <c r="Q366" s="54"/>
      <c r="R366" s="54"/>
      <c r="S366" s="54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34"/>
      <c r="BP366" s="22"/>
    </row>
    <row r="367" spans="1:68" s="3" customFormat="1" ht="25.5" hidden="1" customHeight="1">
      <c r="A367" s="22" t="s">
        <v>69</v>
      </c>
      <c r="B367" s="3">
        <v>25574213</v>
      </c>
      <c r="C367" s="3" t="s">
        <v>70</v>
      </c>
      <c r="D367" s="3" t="s">
        <v>71</v>
      </c>
      <c r="E367" s="6">
        <v>8087346440</v>
      </c>
      <c r="F367" s="3" t="s">
        <v>82</v>
      </c>
      <c r="G367" s="64">
        <v>11</v>
      </c>
      <c r="H367" s="15" t="s">
        <v>579</v>
      </c>
      <c r="I367" s="40" t="s">
        <v>74</v>
      </c>
      <c r="J367" s="63" t="s">
        <v>77</v>
      </c>
      <c r="K367" s="58" t="s">
        <v>240</v>
      </c>
      <c r="L367" s="75">
        <v>57</v>
      </c>
      <c r="M367" s="81">
        <v>0</v>
      </c>
      <c r="N367" s="84">
        <f>(Tabela1[[#This Row],[SIMULADO 2 NOTA]]-Tabela1[[#This Row],[SIMULADO 1 - NOTA]])</f>
        <v>-57</v>
      </c>
      <c r="O367" s="78"/>
      <c r="P367" s="78"/>
      <c r="Q367" s="78"/>
      <c r="R367" s="78"/>
      <c r="S367" s="78"/>
      <c r="T367" s="68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34"/>
      <c r="BP367" s="22"/>
    </row>
    <row r="368" spans="1:68" s="3" customFormat="1" ht="25.5" hidden="1" customHeight="1">
      <c r="A368" s="22" t="s">
        <v>69</v>
      </c>
      <c r="B368" s="5">
        <v>29610401</v>
      </c>
      <c r="C368" s="3" t="s">
        <v>70</v>
      </c>
      <c r="D368" s="3" t="s">
        <v>71</v>
      </c>
      <c r="E368" s="6">
        <v>9957095480</v>
      </c>
      <c r="F368" s="3" t="s">
        <v>78</v>
      </c>
      <c r="G368" s="64">
        <v>7</v>
      </c>
      <c r="H368" s="3" t="s">
        <v>580</v>
      </c>
      <c r="I368" s="41"/>
      <c r="J368" s="63" t="s">
        <v>77</v>
      </c>
      <c r="K368" s="57"/>
      <c r="L368" s="76">
        <v>0</v>
      </c>
      <c r="M368" s="81">
        <v>0</v>
      </c>
      <c r="N368" s="81">
        <f>(Tabela1[[#This Row],[SIMULADO 2 NOTA]]-Tabela1[[#This Row],[SIMULADO 1 - NOTA]])</f>
        <v>0</v>
      </c>
      <c r="O368" s="73"/>
      <c r="P368" s="73"/>
      <c r="Q368" s="73"/>
      <c r="R368" s="73"/>
      <c r="S368" s="73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34"/>
      <c r="BP368" s="22"/>
    </row>
    <row r="369" spans="1:68" s="3" customFormat="1" ht="25.5" customHeight="1">
      <c r="A369" s="22" t="s">
        <v>69</v>
      </c>
      <c r="B369" s="3">
        <v>25576577</v>
      </c>
      <c r="C369" s="3" t="s">
        <v>70</v>
      </c>
      <c r="D369" s="3" t="s">
        <v>71</v>
      </c>
      <c r="E369" s="6">
        <v>13516200456</v>
      </c>
      <c r="F369" s="3" t="s">
        <v>82</v>
      </c>
      <c r="G369" s="64">
        <v>11</v>
      </c>
      <c r="H369" s="3" t="s">
        <v>581</v>
      </c>
      <c r="I369" s="41"/>
      <c r="J369" s="63" t="s">
        <v>77</v>
      </c>
      <c r="K369" s="58" t="s">
        <v>123</v>
      </c>
      <c r="L369" s="75">
        <v>70</v>
      </c>
      <c r="M369" s="82">
        <v>70</v>
      </c>
      <c r="N369" s="81">
        <f>(Tabela1[[#This Row],[SIMULADO 2 NOTA]]-Tabela1[[#This Row],[SIMULADO 1 - NOTA]])</f>
        <v>0</v>
      </c>
      <c r="O369" s="78"/>
      <c r="P369" s="78"/>
      <c r="Q369" s="78"/>
      <c r="R369" s="78"/>
      <c r="S369" s="78"/>
      <c r="T369" s="68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34"/>
      <c r="BP369" s="22"/>
    </row>
    <row r="370" spans="1:68" s="3" customFormat="1" ht="25.5" customHeight="1">
      <c r="A370" s="22" t="s">
        <v>69</v>
      </c>
      <c r="B370" s="3">
        <v>32748493</v>
      </c>
      <c r="C370" s="3" t="s">
        <v>70</v>
      </c>
      <c r="D370" s="3" t="s">
        <v>71</v>
      </c>
      <c r="E370" s="6">
        <v>9540759439</v>
      </c>
      <c r="F370" s="3" t="s">
        <v>82</v>
      </c>
      <c r="G370" s="64">
        <v>7</v>
      </c>
      <c r="H370" s="3" t="s">
        <v>582</v>
      </c>
      <c r="I370" s="41"/>
      <c r="J370" s="63" t="s">
        <v>77</v>
      </c>
      <c r="K370" s="57"/>
      <c r="L370" s="76">
        <v>0</v>
      </c>
      <c r="M370" s="81">
        <v>39</v>
      </c>
      <c r="N370" s="79">
        <f>(Tabela1[[#This Row],[SIMULADO 2 NOTA]]-Tabela1[[#This Row],[SIMULADO 1 - NOTA]])</f>
        <v>39</v>
      </c>
      <c r="O370" s="70"/>
      <c r="P370" s="70"/>
      <c r="Q370" s="70"/>
      <c r="R370" s="70"/>
      <c r="S370" s="70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34"/>
      <c r="BP370" s="22"/>
    </row>
    <row r="371" spans="1:68" s="3" customFormat="1" ht="25.5" hidden="1" customHeight="1">
      <c r="A371" s="22" t="s">
        <v>69</v>
      </c>
      <c r="B371" s="5">
        <v>34129529</v>
      </c>
      <c r="C371" s="3" t="s">
        <v>70</v>
      </c>
      <c r="D371" s="3" t="s">
        <v>71</v>
      </c>
      <c r="E371" s="6">
        <v>11038626420</v>
      </c>
      <c r="F371" s="3" t="s">
        <v>78</v>
      </c>
      <c r="G371" s="64">
        <v>7</v>
      </c>
      <c r="H371" s="3" t="s">
        <v>583</v>
      </c>
      <c r="I371" s="41"/>
      <c r="J371" s="63" t="s">
        <v>77</v>
      </c>
      <c r="K371" s="57"/>
      <c r="L371" s="76">
        <v>0</v>
      </c>
      <c r="M371" s="81">
        <v>0</v>
      </c>
      <c r="N371" s="81">
        <f>(Tabela1[[#This Row],[SIMULADO 2 NOTA]]-Tabela1[[#This Row],[SIMULADO 1 - NOTA]])</f>
        <v>0</v>
      </c>
      <c r="O371" s="69"/>
      <c r="P371" s="69"/>
      <c r="Q371" s="69"/>
      <c r="R371" s="69"/>
      <c r="S371" s="69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34"/>
      <c r="BP371" s="22"/>
    </row>
    <row r="372" spans="1:68" s="3" customFormat="1" ht="25.5" customHeight="1">
      <c r="A372" s="22" t="s">
        <v>69</v>
      </c>
      <c r="B372" s="3">
        <v>31971849</v>
      </c>
      <c r="C372" s="3" t="s">
        <v>70</v>
      </c>
      <c r="D372" s="3" t="s">
        <v>71</v>
      </c>
      <c r="E372" s="6">
        <v>6636603437</v>
      </c>
      <c r="F372" s="3" t="s">
        <v>82</v>
      </c>
      <c r="G372" s="64">
        <v>11</v>
      </c>
      <c r="H372" s="15" t="s">
        <v>584</v>
      </c>
      <c r="I372" s="40" t="s">
        <v>74</v>
      </c>
      <c r="J372" s="63" t="s">
        <v>77</v>
      </c>
      <c r="K372" s="58" t="s">
        <v>527</v>
      </c>
      <c r="L372" s="75">
        <v>60</v>
      </c>
      <c r="M372" s="82">
        <v>53</v>
      </c>
      <c r="N372" s="84">
        <f>(Tabela1[[#This Row],[SIMULADO 2 NOTA]]-Tabela1[[#This Row],[SIMULADO 1 - NOTA]])</f>
        <v>-7</v>
      </c>
      <c r="O372" s="78"/>
      <c r="P372" s="78"/>
      <c r="Q372" s="78"/>
      <c r="R372" s="78"/>
      <c r="S372" s="78"/>
      <c r="T372" s="68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34"/>
      <c r="BP372" s="22"/>
    </row>
    <row r="373" spans="1:68" s="3" customFormat="1" ht="25.5" customHeight="1">
      <c r="A373" s="22" t="s">
        <v>69</v>
      </c>
      <c r="B373" s="3">
        <v>36936235</v>
      </c>
      <c r="C373" s="3" t="s">
        <v>70</v>
      </c>
      <c r="D373" s="3" t="s">
        <v>71</v>
      </c>
      <c r="E373" s="6">
        <v>6998332483</v>
      </c>
      <c r="F373" s="3" t="s">
        <v>78</v>
      </c>
      <c r="G373" s="64">
        <v>9</v>
      </c>
      <c r="H373" s="3" t="s">
        <v>585</v>
      </c>
      <c r="I373" s="41"/>
      <c r="J373" s="63" t="s">
        <v>75</v>
      </c>
      <c r="K373" s="58" t="s">
        <v>224</v>
      </c>
      <c r="L373" s="75">
        <v>64</v>
      </c>
      <c r="M373" s="81">
        <v>43</v>
      </c>
      <c r="N373" s="84">
        <f>(Tabela1[[#This Row],[SIMULADO 2 NOTA]]-Tabela1[[#This Row],[SIMULADO 1 - NOTA]])</f>
        <v>-21</v>
      </c>
      <c r="O373" s="71"/>
      <c r="P373" s="71"/>
      <c r="Q373" s="71"/>
      <c r="R373" s="71"/>
      <c r="S373" s="71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34"/>
      <c r="BP373" s="22"/>
    </row>
    <row r="374" spans="1:68" s="3" customFormat="1" ht="25.5" customHeight="1">
      <c r="A374" s="22" t="s">
        <v>69</v>
      </c>
      <c r="B374" s="3">
        <v>31274811</v>
      </c>
      <c r="C374" s="3" t="s">
        <v>70</v>
      </c>
      <c r="D374" s="3" t="s">
        <v>71</v>
      </c>
      <c r="E374" s="6">
        <v>1368698409</v>
      </c>
      <c r="F374" s="3" t="s">
        <v>72</v>
      </c>
      <c r="G374" s="64">
        <v>11</v>
      </c>
      <c r="H374" s="15" t="s">
        <v>586</v>
      </c>
      <c r="I374" s="40" t="s">
        <v>74</v>
      </c>
      <c r="J374" s="63" t="s">
        <v>77</v>
      </c>
      <c r="K374" s="58" t="s">
        <v>266</v>
      </c>
      <c r="L374" s="75">
        <v>55</v>
      </c>
      <c r="M374" s="82">
        <v>36</v>
      </c>
      <c r="N374" s="84">
        <f>(Tabela1[[#This Row],[SIMULADO 2 NOTA]]-Tabela1[[#This Row],[SIMULADO 1 - NOTA]])</f>
        <v>-19</v>
      </c>
      <c r="O374" s="78"/>
      <c r="P374" s="78"/>
      <c r="Q374" s="78"/>
      <c r="R374" s="78"/>
      <c r="S374" s="78"/>
      <c r="T374" s="68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34"/>
      <c r="BP374" s="22"/>
    </row>
    <row r="375" spans="1:68" s="3" customFormat="1" ht="25.5" hidden="1" customHeight="1">
      <c r="A375" s="22" t="s">
        <v>69</v>
      </c>
      <c r="B375" s="3">
        <v>32668198</v>
      </c>
      <c r="C375" s="3" t="s">
        <v>70</v>
      </c>
      <c r="D375" s="3" t="s">
        <v>71</v>
      </c>
      <c r="E375" s="6">
        <v>9372727440</v>
      </c>
      <c r="F375" s="3" t="s">
        <v>91</v>
      </c>
      <c r="G375" s="64">
        <v>7</v>
      </c>
      <c r="H375" s="3" t="s">
        <v>587</v>
      </c>
      <c r="I375" s="41"/>
      <c r="J375" s="63" t="s">
        <v>77</v>
      </c>
      <c r="K375" s="57"/>
      <c r="L375" s="76">
        <v>0</v>
      </c>
      <c r="M375" s="81">
        <v>0</v>
      </c>
      <c r="N375" s="81">
        <f>(Tabela1[[#This Row],[SIMULADO 2 NOTA]]-Tabela1[[#This Row],[SIMULADO 1 - NOTA]])</f>
        <v>0</v>
      </c>
      <c r="O375" s="70"/>
      <c r="P375" s="70"/>
      <c r="Q375" s="70"/>
      <c r="R375" s="70"/>
      <c r="S375" s="70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34"/>
      <c r="BP375" s="22"/>
    </row>
    <row r="376" spans="1:68" s="3" customFormat="1" ht="25.5" customHeight="1">
      <c r="A376" s="22" t="s">
        <v>69</v>
      </c>
      <c r="B376" s="3">
        <v>35441941</v>
      </c>
      <c r="C376" s="3" t="s">
        <v>70</v>
      </c>
      <c r="D376" s="3" t="s">
        <v>71</v>
      </c>
      <c r="E376" s="6">
        <v>6790601465</v>
      </c>
      <c r="F376" s="3" t="s">
        <v>91</v>
      </c>
      <c r="G376" s="64">
        <v>9</v>
      </c>
      <c r="H376" s="18" t="s">
        <v>588</v>
      </c>
      <c r="I376" s="43" t="s">
        <v>84</v>
      </c>
      <c r="J376" s="63" t="s">
        <v>75</v>
      </c>
      <c r="K376" s="58" t="s">
        <v>196</v>
      </c>
      <c r="L376" s="75">
        <v>43</v>
      </c>
      <c r="M376" s="81">
        <v>42</v>
      </c>
      <c r="N376" s="79">
        <f>(Tabela1[[#This Row],[SIMULADO 2 NOTA]]-Tabela1[[#This Row],[SIMULADO 1 - NOTA]])</f>
        <v>-1</v>
      </c>
      <c r="O376" s="52"/>
      <c r="P376" s="52"/>
      <c r="Q376" s="52"/>
      <c r="R376" s="52"/>
      <c r="S376" s="52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34"/>
      <c r="BP376" s="22"/>
    </row>
    <row r="377" spans="1:68" s="3" customFormat="1" ht="25.5" hidden="1" customHeight="1">
      <c r="A377" s="22" t="s">
        <v>69</v>
      </c>
      <c r="B377" s="11">
        <v>25343530</v>
      </c>
      <c r="C377" s="3" t="s">
        <v>70</v>
      </c>
      <c r="D377" s="5" t="s">
        <v>109</v>
      </c>
      <c r="E377" s="6"/>
      <c r="F377" s="11" t="s">
        <v>72</v>
      </c>
      <c r="G377" s="66">
        <v>11</v>
      </c>
      <c r="H377" s="11" t="s">
        <v>589</v>
      </c>
      <c r="I377" s="46"/>
      <c r="J377" s="63" t="s">
        <v>75</v>
      </c>
      <c r="K377" s="59"/>
      <c r="L377" s="76">
        <v>0</v>
      </c>
      <c r="M377" s="81">
        <v>0</v>
      </c>
      <c r="N377" s="81">
        <f>(Tabela1[[#This Row],[SIMULADO 2 NOTA]]-Tabela1[[#This Row],[SIMULADO 1 - NOTA]])</f>
        <v>0</v>
      </c>
      <c r="O377" s="53"/>
      <c r="P377" s="53"/>
      <c r="Q377" s="53"/>
      <c r="R377" s="53"/>
      <c r="S377" s="53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 t="s">
        <v>87</v>
      </c>
      <c r="BI377" s="7" t="s">
        <v>87</v>
      </c>
      <c r="BJ377" s="7"/>
      <c r="BK377" s="7"/>
      <c r="BL377" s="7" t="s">
        <v>87</v>
      </c>
      <c r="BM377" s="7" t="s">
        <v>87</v>
      </c>
      <c r="BN377" s="7"/>
      <c r="BO377" s="34"/>
      <c r="BP377" s="22"/>
    </row>
    <row r="378" spans="1:68" s="3" customFormat="1" ht="25.5" customHeight="1">
      <c r="A378" s="22" t="s">
        <v>69</v>
      </c>
      <c r="B378" s="3">
        <v>29695449</v>
      </c>
      <c r="C378" s="3" t="s">
        <v>70</v>
      </c>
      <c r="D378" s="3" t="s">
        <v>71</v>
      </c>
      <c r="E378" s="6">
        <v>10890722447</v>
      </c>
      <c r="F378" s="3" t="s">
        <v>72</v>
      </c>
      <c r="G378" s="64">
        <v>9</v>
      </c>
      <c r="H378" s="3" t="s">
        <v>590</v>
      </c>
      <c r="I378" s="41"/>
      <c r="J378" s="63" t="s">
        <v>75</v>
      </c>
      <c r="K378" s="58" t="s">
        <v>591</v>
      </c>
      <c r="L378" s="76">
        <v>0</v>
      </c>
      <c r="M378" s="81">
        <v>49</v>
      </c>
      <c r="N378" s="79">
        <f>(Tabela1[[#This Row],[SIMULADO 2 NOTA]]-Tabela1[[#This Row],[SIMULADO 1 - NOTA]])</f>
        <v>49</v>
      </c>
      <c r="O378" s="53"/>
      <c r="P378" s="53"/>
      <c r="Q378" s="53"/>
      <c r="R378" s="53"/>
      <c r="S378" s="53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34"/>
      <c r="BP378" s="22"/>
    </row>
    <row r="379" spans="1:68" s="3" customFormat="1" ht="25.5" customHeight="1">
      <c r="A379" s="22" t="s">
        <v>69</v>
      </c>
      <c r="B379" s="3">
        <v>30624061</v>
      </c>
      <c r="C379" s="3" t="s">
        <v>70</v>
      </c>
      <c r="D379" s="3" t="s">
        <v>71</v>
      </c>
      <c r="E379" s="6">
        <v>7900272402</v>
      </c>
      <c r="F379" s="3" t="s">
        <v>91</v>
      </c>
      <c r="G379" s="64">
        <v>9</v>
      </c>
      <c r="H379" s="3" t="s">
        <v>592</v>
      </c>
      <c r="I379" s="41"/>
      <c r="J379" s="63" t="s">
        <v>75</v>
      </c>
      <c r="K379" s="58" t="s">
        <v>232</v>
      </c>
      <c r="L379" s="75">
        <v>61</v>
      </c>
      <c r="M379" s="81">
        <v>59</v>
      </c>
      <c r="N379" s="84">
        <f>(Tabela1[[#This Row],[SIMULADO 2 NOTA]]-Tabela1[[#This Row],[SIMULADO 1 - NOTA]])</f>
        <v>-2</v>
      </c>
      <c r="O379" s="54"/>
      <c r="P379" s="54"/>
      <c r="Q379" s="54"/>
      <c r="R379" s="54"/>
      <c r="S379" s="54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34"/>
      <c r="BP379" s="22"/>
    </row>
    <row r="380" spans="1:68" s="3" customFormat="1" ht="25.5" customHeight="1">
      <c r="A380" s="22" t="s">
        <v>69</v>
      </c>
      <c r="B380" s="3">
        <v>25491709</v>
      </c>
      <c r="C380" s="3" t="s">
        <v>70</v>
      </c>
      <c r="D380" s="3" t="s">
        <v>71</v>
      </c>
      <c r="E380" s="6">
        <v>6439479148</v>
      </c>
      <c r="F380" s="3" t="s">
        <v>82</v>
      </c>
      <c r="G380" s="64">
        <v>11</v>
      </c>
      <c r="H380" s="18" t="s">
        <v>593</v>
      </c>
      <c r="I380" s="43" t="s">
        <v>84</v>
      </c>
      <c r="J380" s="63" t="s">
        <v>77</v>
      </c>
      <c r="K380" s="58" t="s">
        <v>594</v>
      </c>
      <c r="L380" s="75">
        <v>21</v>
      </c>
      <c r="M380" s="82">
        <v>44</v>
      </c>
      <c r="N380" s="92">
        <f>(Tabela1[[#This Row],[SIMULADO 2 NOTA]]-Tabela1[[#This Row],[SIMULADO 1 - NOTA]])</f>
        <v>23</v>
      </c>
      <c r="O380" s="78"/>
      <c r="P380" s="78"/>
      <c r="Q380" s="78"/>
      <c r="R380" s="78"/>
      <c r="S380" s="78"/>
      <c r="T380" s="68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34"/>
      <c r="BP380" s="22"/>
    </row>
    <row r="381" spans="1:68" s="3" customFormat="1" ht="25.5" hidden="1" customHeight="1">
      <c r="A381" s="22" t="s">
        <v>69</v>
      </c>
      <c r="B381" s="3">
        <v>25179039</v>
      </c>
      <c r="C381" s="3" t="s">
        <v>70</v>
      </c>
      <c r="D381" s="3" t="s">
        <v>71</v>
      </c>
      <c r="E381" s="6">
        <v>61301125300</v>
      </c>
      <c r="F381" s="3" t="s">
        <v>72</v>
      </c>
      <c r="G381" s="64">
        <v>11</v>
      </c>
      <c r="H381" s="18" t="s">
        <v>595</v>
      </c>
      <c r="I381" s="43" t="s">
        <v>84</v>
      </c>
      <c r="J381" s="63" t="s">
        <v>77</v>
      </c>
      <c r="K381" s="58" t="s">
        <v>177</v>
      </c>
      <c r="L381" s="75">
        <v>43</v>
      </c>
      <c r="M381" s="81">
        <v>0</v>
      </c>
      <c r="N381" s="84">
        <f>(Tabela1[[#This Row],[SIMULADO 2 NOTA]]-Tabela1[[#This Row],[SIMULADO 1 - NOTA]])</f>
        <v>-43</v>
      </c>
      <c r="O381" s="78"/>
      <c r="P381" s="78"/>
      <c r="Q381" s="78"/>
      <c r="R381" s="78"/>
      <c r="S381" s="78"/>
      <c r="T381" s="68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34"/>
      <c r="BP381" s="22"/>
    </row>
    <row r="382" spans="1:68" s="3" customFormat="1" ht="25.5" customHeight="1">
      <c r="A382" s="22" t="s">
        <v>69</v>
      </c>
      <c r="B382" s="3">
        <v>29274354</v>
      </c>
      <c r="C382" s="3" t="s">
        <v>70</v>
      </c>
      <c r="D382" s="3" t="s">
        <v>71</v>
      </c>
      <c r="E382" s="6">
        <v>1415013403</v>
      </c>
      <c r="F382" s="3" t="s">
        <v>72</v>
      </c>
      <c r="G382" s="64">
        <v>11</v>
      </c>
      <c r="H382" s="15" t="s">
        <v>596</v>
      </c>
      <c r="I382" s="40" t="s">
        <v>74</v>
      </c>
      <c r="J382" s="63" t="s">
        <v>77</v>
      </c>
      <c r="K382" s="58" t="s">
        <v>468</v>
      </c>
      <c r="L382" s="75">
        <v>60</v>
      </c>
      <c r="M382" s="82">
        <v>55</v>
      </c>
      <c r="N382" s="84">
        <f>(Tabela1[[#This Row],[SIMULADO 2 NOTA]]-Tabela1[[#This Row],[SIMULADO 1 - NOTA]])</f>
        <v>-5</v>
      </c>
      <c r="O382" s="78"/>
      <c r="P382" s="78"/>
      <c r="Q382" s="78"/>
      <c r="R382" s="78"/>
      <c r="S382" s="78"/>
      <c r="T382" s="68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34"/>
      <c r="BP382" s="22"/>
    </row>
    <row r="383" spans="1:68" s="3" customFormat="1" ht="25.5" customHeight="1">
      <c r="A383" s="22" t="s">
        <v>69</v>
      </c>
      <c r="B383" s="3">
        <v>32865830</v>
      </c>
      <c r="C383" s="3" t="s">
        <v>70</v>
      </c>
      <c r="D383" s="3" t="s">
        <v>71</v>
      </c>
      <c r="E383" s="6">
        <v>11023397412</v>
      </c>
      <c r="F383" s="3" t="s">
        <v>82</v>
      </c>
      <c r="G383" s="64">
        <v>7</v>
      </c>
      <c r="H383" s="8" t="s">
        <v>597</v>
      </c>
      <c r="I383" s="42" t="s">
        <v>80</v>
      </c>
      <c r="J383" s="63" t="s">
        <v>77</v>
      </c>
      <c r="K383" s="58" t="s">
        <v>286</v>
      </c>
      <c r="L383" s="76">
        <v>0</v>
      </c>
      <c r="M383" s="81">
        <v>38</v>
      </c>
      <c r="N383" s="79">
        <f>(Tabela1[[#This Row],[SIMULADO 2 NOTA]]-Tabela1[[#This Row],[SIMULADO 1 - NOTA]])</f>
        <v>38</v>
      </c>
      <c r="O383" s="73"/>
      <c r="P383" s="73"/>
      <c r="Q383" s="73"/>
      <c r="R383" s="73"/>
      <c r="S383" s="73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>
        <v>5.5</v>
      </c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>
        <v>5</v>
      </c>
      <c r="BH383" s="7"/>
      <c r="BI383" s="7"/>
      <c r="BJ383" s="7"/>
      <c r="BK383" s="7"/>
      <c r="BL383" s="7"/>
      <c r="BM383" s="7"/>
      <c r="BN383" s="7"/>
      <c r="BO383" s="34"/>
      <c r="BP383" s="22"/>
    </row>
    <row r="384" spans="1:68" s="3" customFormat="1" ht="25.5" customHeight="1">
      <c r="A384" s="22" t="s">
        <v>69</v>
      </c>
      <c r="B384" s="3">
        <v>26139138</v>
      </c>
      <c r="C384" s="3" t="s">
        <v>70</v>
      </c>
      <c r="D384" s="3" t="s">
        <v>71</v>
      </c>
      <c r="E384" s="6">
        <v>6754897414</v>
      </c>
      <c r="F384" s="3" t="s">
        <v>82</v>
      </c>
      <c r="G384" s="64">
        <v>11</v>
      </c>
      <c r="H384" s="3" t="s">
        <v>598</v>
      </c>
      <c r="I384" s="41"/>
      <c r="J384" s="63" t="s">
        <v>77</v>
      </c>
      <c r="K384" s="58" t="s">
        <v>599</v>
      </c>
      <c r="L384" s="76">
        <v>0</v>
      </c>
      <c r="M384" s="82">
        <v>40</v>
      </c>
      <c r="N384" s="92">
        <f>(Tabela1[[#This Row],[SIMULADO 2 NOTA]]-Tabela1[[#This Row],[SIMULADO 1 - NOTA]])</f>
        <v>40</v>
      </c>
      <c r="O384" s="78"/>
      <c r="P384" s="78"/>
      <c r="Q384" s="78"/>
      <c r="R384" s="78"/>
      <c r="S384" s="78"/>
      <c r="T384" s="68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34"/>
      <c r="BP384" s="22"/>
    </row>
    <row r="385" spans="1:68" s="3" customFormat="1" ht="25.5" customHeight="1">
      <c r="A385" s="22" t="s">
        <v>69</v>
      </c>
      <c r="B385" s="3">
        <v>33525561</v>
      </c>
      <c r="C385" s="3" t="s">
        <v>70</v>
      </c>
      <c r="D385" s="3" t="s">
        <v>71</v>
      </c>
      <c r="E385" s="6">
        <v>9045543419</v>
      </c>
      <c r="F385" s="3" t="s">
        <v>91</v>
      </c>
      <c r="G385" s="64">
        <v>7</v>
      </c>
      <c r="H385" s="3" t="s">
        <v>600</v>
      </c>
      <c r="I385" s="41"/>
      <c r="J385" s="63" t="s">
        <v>77</v>
      </c>
      <c r="K385" s="57"/>
      <c r="L385" s="76">
        <v>0</v>
      </c>
      <c r="M385" s="81">
        <v>52</v>
      </c>
      <c r="N385" s="79">
        <f>(Tabela1[[#This Row],[SIMULADO 2 NOTA]]-Tabela1[[#This Row],[SIMULADO 1 - NOTA]])</f>
        <v>52</v>
      </c>
      <c r="O385" s="70"/>
      <c r="P385" s="70"/>
      <c r="Q385" s="70"/>
      <c r="R385" s="70"/>
      <c r="S385" s="70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34"/>
      <c r="BP385" s="22"/>
    </row>
    <row r="386" spans="1:68" s="3" customFormat="1" ht="25.5" customHeight="1">
      <c r="A386" s="22" t="s">
        <v>69</v>
      </c>
      <c r="B386" s="3">
        <v>28997646</v>
      </c>
      <c r="C386" s="3" t="s">
        <v>70</v>
      </c>
      <c r="D386" s="3" t="s">
        <v>71</v>
      </c>
      <c r="E386" s="6">
        <v>13338314477</v>
      </c>
      <c r="F386" s="3" t="s">
        <v>91</v>
      </c>
      <c r="G386" s="64">
        <v>9</v>
      </c>
      <c r="H386" s="15" t="s">
        <v>601</v>
      </c>
      <c r="I386" s="40" t="s">
        <v>74</v>
      </c>
      <c r="J386" s="63" t="s">
        <v>75</v>
      </c>
      <c r="K386" s="58" t="s">
        <v>222</v>
      </c>
      <c r="L386" s="75">
        <v>59</v>
      </c>
      <c r="M386" s="81">
        <v>52</v>
      </c>
      <c r="N386" s="84">
        <f>(Tabela1[[#This Row],[SIMULADO 2 NOTA]]-Tabela1[[#This Row],[SIMULADO 1 - NOTA]])</f>
        <v>-7</v>
      </c>
      <c r="O386" s="52"/>
      <c r="P386" s="52"/>
      <c r="Q386" s="52"/>
      <c r="R386" s="52"/>
      <c r="S386" s="52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34"/>
      <c r="BP386" s="22"/>
    </row>
    <row r="387" spans="1:68" s="3" customFormat="1" ht="25.5" customHeight="1">
      <c r="A387" s="22" t="s">
        <v>69</v>
      </c>
      <c r="B387" s="3">
        <v>29596661</v>
      </c>
      <c r="C387" s="3" t="s">
        <v>70</v>
      </c>
      <c r="D387" s="3" t="s">
        <v>71</v>
      </c>
      <c r="E387" s="6">
        <v>7775150408</v>
      </c>
      <c r="F387" s="3" t="s">
        <v>78</v>
      </c>
      <c r="G387" s="64">
        <v>9</v>
      </c>
      <c r="H387" s="18" t="s">
        <v>602</v>
      </c>
      <c r="I387" s="43" t="s">
        <v>84</v>
      </c>
      <c r="J387" s="63" t="s">
        <v>75</v>
      </c>
      <c r="K387" s="58" t="s">
        <v>468</v>
      </c>
      <c r="L387" s="75">
        <v>42</v>
      </c>
      <c r="M387" s="81">
        <v>42</v>
      </c>
      <c r="N387" s="81">
        <f>(Tabela1[[#This Row],[SIMULADO 2 NOTA]]-Tabela1[[#This Row],[SIMULADO 1 - NOTA]])</f>
        <v>0</v>
      </c>
      <c r="O387" s="54"/>
      <c r="P387" s="54"/>
      <c r="Q387" s="54"/>
      <c r="R387" s="54"/>
      <c r="S387" s="54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34"/>
      <c r="BP387" s="22"/>
    </row>
    <row r="388" spans="1:68" s="3" customFormat="1" ht="25.5" customHeight="1">
      <c r="A388" s="22" t="s">
        <v>69</v>
      </c>
      <c r="B388" s="3">
        <v>25189719</v>
      </c>
      <c r="C388" s="3" t="s">
        <v>70</v>
      </c>
      <c r="D388" s="3" t="s">
        <v>71</v>
      </c>
      <c r="E388" s="6">
        <v>10250673479</v>
      </c>
      <c r="F388" s="3" t="s">
        <v>82</v>
      </c>
      <c r="G388" s="64">
        <v>11</v>
      </c>
      <c r="H388" s="3" t="s">
        <v>603</v>
      </c>
      <c r="I388" s="41"/>
      <c r="J388" s="63" t="s">
        <v>77</v>
      </c>
      <c r="K388" s="58" t="s">
        <v>205</v>
      </c>
      <c r="L388" s="75">
        <v>63</v>
      </c>
      <c r="M388" s="82">
        <v>62</v>
      </c>
      <c r="N388" s="84">
        <f>(Tabela1[[#This Row],[SIMULADO 2 NOTA]]-Tabela1[[#This Row],[SIMULADO 1 - NOTA]])</f>
        <v>-1</v>
      </c>
      <c r="O388" s="78"/>
      <c r="P388" s="78"/>
      <c r="Q388" s="78"/>
      <c r="R388" s="78"/>
      <c r="S388" s="78"/>
      <c r="T388" s="68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34"/>
      <c r="BP388" s="22"/>
    </row>
    <row r="389" spans="1:68" s="3" customFormat="1" ht="25.5" hidden="1" customHeight="1">
      <c r="A389" s="22" t="s">
        <v>69</v>
      </c>
      <c r="B389" s="3">
        <v>28948319</v>
      </c>
      <c r="C389" s="3" t="s">
        <v>70</v>
      </c>
      <c r="D389" s="3" t="s">
        <v>71</v>
      </c>
      <c r="E389" s="6">
        <v>8671780430</v>
      </c>
      <c r="F389" s="3" t="s">
        <v>91</v>
      </c>
      <c r="G389" s="64">
        <v>9</v>
      </c>
      <c r="H389" s="3" t="s">
        <v>604</v>
      </c>
      <c r="I389" s="41"/>
      <c r="J389" s="63" t="s">
        <v>75</v>
      </c>
      <c r="K389" s="58" t="s">
        <v>471</v>
      </c>
      <c r="L389" s="75">
        <v>71</v>
      </c>
      <c r="M389" s="81">
        <v>67</v>
      </c>
      <c r="N389" s="84">
        <f>(Tabela1[[#This Row],[SIMULADO 2 NOTA]]-Tabela1[[#This Row],[SIMULADO 1 - NOTA]])</f>
        <v>-4</v>
      </c>
      <c r="O389" s="72"/>
      <c r="P389" s="72"/>
      <c r="Q389" s="72"/>
      <c r="R389" s="72"/>
      <c r="S389" s="72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34"/>
      <c r="BP389" s="22"/>
    </row>
    <row r="390" spans="1:68" s="3" customFormat="1" ht="25.5" customHeight="1">
      <c r="A390" s="22" t="s">
        <v>69</v>
      </c>
      <c r="B390" s="3">
        <v>29583136</v>
      </c>
      <c r="C390" s="3" t="s">
        <v>70</v>
      </c>
      <c r="D390" s="3" t="s">
        <v>71</v>
      </c>
      <c r="E390" s="6">
        <v>797526404</v>
      </c>
      <c r="F390" s="3" t="s">
        <v>82</v>
      </c>
      <c r="G390" s="64">
        <v>9</v>
      </c>
      <c r="H390" s="3" t="s">
        <v>605</v>
      </c>
      <c r="I390" s="41"/>
      <c r="J390" s="63" t="s">
        <v>75</v>
      </c>
      <c r="K390" s="58" t="s">
        <v>141</v>
      </c>
      <c r="L390" s="75">
        <v>63</v>
      </c>
      <c r="M390" s="81">
        <v>45</v>
      </c>
      <c r="N390" s="84">
        <f>(Tabela1[[#This Row],[SIMULADO 2 NOTA]]-Tabela1[[#This Row],[SIMULADO 1 - NOTA]])</f>
        <v>-18</v>
      </c>
      <c r="O390" s="52"/>
      <c r="P390" s="52"/>
      <c r="Q390" s="52"/>
      <c r="R390" s="52"/>
      <c r="S390" s="52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34"/>
      <c r="BP390" s="22"/>
    </row>
    <row r="391" spans="1:68" s="3" customFormat="1" ht="25.5" customHeight="1">
      <c r="A391" s="22" t="s">
        <v>69</v>
      </c>
      <c r="B391" s="3">
        <v>28958292</v>
      </c>
      <c r="C391" s="3" t="s">
        <v>70</v>
      </c>
      <c r="D391" s="3" t="s">
        <v>71</v>
      </c>
      <c r="E391" s="6">
        <v>6637319414</v>
      </c>
      <c r="F391" s="3" t="s">
        <v>72</v>
      </c>
      <c r="G391" s="64">
        <v>9</v>
      </c>
      <c r="H391" s="3" t="s">
        <v>606</v>
      </c>
      <c r="I391" s="41"/>
      <c r="J391" s="63" t="s">
        <v>75</v>
      </c>
      <c r="K391" s="58" t="s">
        <v>123</v>
      </c>
      <c r="L391" s="75">
        <v>67</v>
      </c>
      <c r="M391" s="81">
        <v>48</v>
      </c>
      <c r="N391" s="84">
        <f>(Tabela1[[#This Row],[SIMULADO 2 NOTA]]-Tabela1[[#This Row],[SIMULADO 1 - NOTA]])</f>
        <v>-19</v>
      </c>
      <c r="O391" s="52"/>
      <c r="P391" s="52"/>
      <c r="Q391" s="52"/>
      <c r="R391" s="52"/>
      <c r="S391" s="52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34"/>
      <c r="BP391" s="22"/>
    </row>
    <row r="392" spans="1:68" s="3" customFormat="1" ht="25.5" hidden="1" customHeight="1">
      <c r="A392" s="22" t="s">
        <v>69</v>
      </c>
      <c r="B392" s="3">
        <v>33840903</v>
      </c>
      <c r="C392" s="3" t="s">
        <v>70</v>
      </c>
      <c r="D392" s="3" t="s">
        <v>71</v>
      </c>
      <c r="E392" s="6">
        <v>7020461409</v>
      </c>
      <c r="F392" s="3" t="s">
        <v>82</v>
      </c>
      <c r="G392" s="64">
        <v>7</v>
      </c>
      <c r="H392" s="3" t="s">
        <v>607</v>
      </c>
      <c r="I392" s="41"/>
      <c r="J392" s="63" t="s">
        <v>77</v>
      </c>
      <c r="K392" s="57"/>
      <c r="L392" s="76">
        <v>0</v>
      </c>
      <c r="M392" s="81">
        <v>0</v>
      </c>
      <c r="N392" s="81">
        <f>(Tabela1[[#This Row],[SIMULADO 2 NOTA]]-Tabela1[[#This Row],[SIMULADO 1 - NOTA]])</f>
        <v>0</v>
      </c>
      <c r="O392" s="69"/>
      <c r="P392" s="69"/>
      <c r="Q392" s="69"/>
      <c r="R392" s="69"/>
      <c r="S392" s="69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34"/>
      <c r="BP392" s="22"/>
    </row>
    <row r="393" spans="1:68" s="3" customFormat="1" ht="25.5" customHeight="1">
      <c r="A393" s="22" t="s">
        <v>69</v>
      </c>
      <c r="B393" s="3">
        <v>31289771</v>
      </c>
      <c r="C393" s="3" t="s">
        <v>70</v>
      </c>
      <c r="D393" s="3" t="s">
        <v>71</v>
      </c>
      <c r="E393" s="6">
        <v>7225973479</v>
      </c>
      <c r="F393" s="3" t="s">
        <v>82</v>
      </c>
      <c r="G393" s="64">
        <v>11</v>
      </c>
      <c r="H393" s="3" t="s">
        <v>608</v>
      </c>
      <c r="I393" s="41"/>
      <c r="J393" s="63" t="s">
        <v>77</v>
      </c>
      <c r="K393" s="58" t="s">
        <v>428</v>
      </c>
      <c r="L393" s="75">
        <v>64</v>
      </c>
      <c r="M393" s="82">
        <v>52</v>
      </c>
      <c r="N393" s="84">
        <f>(Tabela1[[#This Row],[SIMULADO 2 NOTA]]-Tabela1[[#This Row],[SIMULADO 1 - NOTA]])</f>
        <v>-12</v>
      </c>
      <c r="O393" s="78"/>
      <c r="P393" s="78"/>
      <c r="Q393" s="78"/>
      <c r="R393" s="78"/>
      <c r="S393" s="78"/>
      <c r="T393" s="68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34"/>
      <c r="BP393" s="22"/>
    </row>
    <row r="394" spans="1:68" s="3" customFormat="1" ht="25.5" customHeight="1">
      <c r="A394" s="22" t="s">
        <v>69</v>
      </c>
      <c r="B394" s="3">
        <v>25489291</v>
      </c>
      <c r="C394" s="3" t="s">
        <v>70</v>
      </c>
      <c r="D394" s="3" t="s">
        <v>71</v>
      </c>
      <c r="E394" s="6">
        <v>11925985474</v>
      </c>
      <c r="F394" s="3" t="s">
        <v>82</v>
      </c>
      <c r="G394" s="64">
        <v>11</v>
      </c>
      <c r="H394" s="15" t="s">
        <v>609</v>
      </c>
      <c r="I394" s="40" t="s">
        <v>74</v>
      </c>
      <c r="J394" s="63" t="s">
        <v>77</v>
      </c>
      <c r="K394" s="58" t="s">
        <v>496</v>
      </c>
      <c r="L394" s="75">
        <v>55</v>
      </c>
      <c r="M394" s="82">
        <v>27</v>
      </c>
      <c r="N394" s="84">
        <f>(Tabela1[[#This Row],[SIMULADO 2 NOTA]]-Tabela1[[#This Row],[SIMULADO 1 - NOTA]])</f>
        <v>-28</v>
      </c>
      <c r="O394" s="78"/>
      <c r="P394" s="78"/>
      <c r="Q394" s="78"/>
      <c r="R394" s="78"/>
      <c r="S394" s="78"/>
      <c r="T394" s="68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34"/>
      <c r="BP394" s="22"/>
    </row>
    <row r="395" spans="1:68" s="3" customFormat="1" ht="25.5" customHeight="1">
      <c r="A395" s="22" t="s">
        <v>69</v>
      </c>
      <c r="B395" s="5">
        <v>29043247</v>
      </c>
      <c r="C395" s="3" t="s">
        <v>70</v>
      </c>
      <c r="D395" s="3" t="s">
        <v>71</v>
      </c>
      <c r="E395" s="6">
        <v>71393292496</v>
      </c>
      <c r="F395" s="3" t="s">
        <v>78</v>
      </c>
      <c r="G395" s="64">
        <v>7</v>
      </c>
      <c r="H395" s="3" t="s">
        <v>610</v>
      </c>
      <c r="I395" s="41"/>
      <c r="J395" s="63" t="s">
        <v>77</v>
      </c>
      <c r="K395" s="57"/>
      <c r="L395" s="76">
        <v>0</v>
      </c>
      <c r="M395" s="81">
        <v>28</v>
      </c>
      <c r="N395" s="79">
        <f>(Tabela1[[#This Row],[SIMULADO 2 NOTA]]-Tabela1[[#This Row],[SIMULADO 1 - NOTA]])</f>
        <v>28</v>
      </c>
      <c r="O395" s="70"/>
      <c r="P395" s="70"/>
      <c r="Q395" s="70"/>
      <c r="R395" s="70"/>
      <c r="S395" s="70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34"/>
      <c r="BP395" s="22"/>
    </row>
    <row r="396" spans="1:68" s="3" customFormat="1" ht="25.5" customHeight="1">
      <c r="A396" s="22" t="s">
        <v>69</v>
      </c>
      <c r="B396" s="3">
        <v>28943635</v>
      </c>
      <c r="C396" s="3" t="s">
        <v>70</v>
      </c>
      <c r="D396" s="3" t="s">
        <v>71</v>
      </c>
      <c r="E396" s="6">
        <v>14502197483</v>
      </c>
      <c r="F396" s="3" t="s">
        <v>91</v>
      </c>
      <c r="G396" s="64">
        <v>9</v>
      </c>
      <c r="H396" s="3" t="s">
        <v>611</v>
      </c>
      <c r="I396" s="41"/>
      <c r="J396" s="63" t="s">
        <v>75</v>
      </c>
      <c r="K396" s="58" t="s">
        <v>99</v>
      </c>
      <c r="L396" s="75">
        <v>65</v>
      </c>
      <c r="M396" s="81">
        <v>57</v>
      </c>
      <c r="N396" s="84">
        <f>(Tabela1[[#This Row],[SIMULADO 2 NOTA]]-Tabela1[[#This Row],[SIMULADO 1 - NOTA]])</f>
        <v>-8</v>
      </c>
      <c r="O396" s="52"/>
      <c r="P396" s="52"/>
      <c r="Q396" s="52"/>
      <c r="R396" s="52"/>
      <c r="S396" s="52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34"/>
      <c r="BP396" s="22"/>
    </row>
    <row r="397" spans="1:68" s="3" customFormat="1" ht="25.5" customHeight="1">
      <c r="A397" s="22" t="s">
        <v>69</v>
      </c>
      <c r="B397" s="3">
        <v>32720068</v>
      </c>
      <c r="C397" s="3" t="s">
        <v>70</v>
      </c>
      <c r="D397" s="3" t="s">
        <v>71</v>
      </c>
      <c r="E397" s="6">
        <v>5548801481</v>
      </c>
      <c r="F397" s="3" t="s">
        <v>91</v>
      </c>
      <c r="G397" s="64">
        <v>7</v>
      </c>
      <c r="H397" s="3" t="s">
        <v>612</v>
      </c>
      <c r="I397" s="41"/>
      <c r="J397" s="63" t="s">
        <v>77</v>
      </c>
      <c r="K397" s="57"/>
      <c r="L397" s="76">
        <v>0</v>
      </c>
      <c r="M397" s="81">
        <v>38</v>
      </c>
      <c r="N397" s="79">
        <f>(Tabela1[[#This Row],[SIMULADO 2 NOTA]]-Tabela1[[#This Row],[SIMULADO 1 - NOTA]])</f>
        <v>38</v>
      </c>
      <c r="O397" s="69"/>
      <c r="P397" s="69"/>
      <c r="Q397" s="69"/>
      <c r="R397" s="69"/>
      <c r="S397" s="69"/>
      <c r="T397" s="7"/>
      <c r="U397" s="7"/>
      <c r="V397" s="7" t="s">
        <v>87</v>
      </c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34"/>
      <c r="BP397" s="22"/>
    </row>
    <row r="398" spans="1:68" s="3" customFormat="1" ht="25.5" customHeight="1">
      <c r="A398" s="22" t="s">
        <v>69</v>
      </c>
      <c r="B398" s="3">
        <v>25067010</v>
      </c>
      <c r="C398" s="3" t="s">
        <v>70</v>
      </c>
      <c r="D398" s="3" t="s">
        <v>71</v>
      </c>
      <c r="E398" s="6">
        <v>10476523400</v>
      </c>
      <c r="F398" s="3" t="s">
        <v>72</v>
      </c>
      <c r="G398" s="64">
        <v>11</v>
      </c>
      <c r="H398" s="15" t="s">
        <v>613</v>
      </c>
      <c r="I398" s="40" t="s">
        <v>74</v>
      </c>
      <c r="J398" s="63" t="s">
        <v>77</v>
      </c>
      <c r="K398" s="58" t="s">
        <v>614</v>
      </c>
      <c r="L398" s="75">
        <v>56</v>
      </c>
      <c r="M398" s="82">
        <v>45</v>
      </c>
      <c r="N398" s="84">
        <f>(Tabela1[[#This Row],[SIMULADO 2 NOTA]]-Tabela1[[#This Row],[SIMULADO 1 - NOTA]])</f>
        <v>-11</v>
      </c>
      <c r="O398" s="78"/>
      <c r="P398" s="78"/>
      <c r="Q398" s="78"/>
      <c r="R398" s="78"/>
      <c r="S398" s="78"/>
      <c r="T398" s="68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34"/>
      <c r="BP398" s="22"/>
    </row>
    <row r="399" spans="1:68" s="3" customFormat="1" ht="25.5" hidden="1" customHeight="1">
      <c r="A399" s="22" t="s">
        <v>69</v>
      </c>
      <c r="B399" s="3">
        <v>30080134</v>
      </c>
      <c r="C399" s="3" t="s">
        <v>70</v>
      </c>
      <c r="D399" s="3" t="s">
        <v>71</v>
      </c>
      <c r="E399" s="6">
        <v>6895010483</v>
      </c>
      <c r="F399" s="3" t="s">
        <v>72</v>
      </c>
      <c r="G399" s="64">
        <v>9</v>
      </c>
      <c r="H399" s="3" t="s">
        <v>615</v>
      </c>
      <c r="I399" s="41"/>
      <c r="J399" s="63" t="s">
        <v>75</v>
      </c>
      <c r="K399" s="58" t="s">
        <v>468</v>
      </c>
      <c r="L399" s="75">
        <v>66</v>
      </c>
      <c r="M399" s="81">
        <v>0</v>
      </c>
      <c r="N399" s="84">
        <f>(Tabela1[[#This Row],[SIMULADO 2 NOTA]]-Tabela1[[#This Row],[SIMULADO 1 - NOTA]])</f>
        <v>-66</v>
      </c>
      <c r="O399" s="72"/>
      <c r="P399" s="72"/>
      <c r="Q399" s="72"/>
      <c r="R399" s="72"/>
      <c r="S399" s="72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34"/>
      <c r="BP399" s="22"/>
    </row>
    <row r="400" spans="1:68" s="3" customFormat="1" ht="25.5" customHeight="1">
      <c r="A400" s="22" t="s">
        <v>69</v>
      </c>
      <c r="B400" s="3">
        <v>28953606</v>
      </c>
      <c r="C400" s="3" t="s">
        <v>70</v>
      </c>
      <c r="D400" s="3" t="s">
        <v>71</v>
      </c>
      <c r="E400" s="6">
        <v>1343133483</v>
      </c>
      <c r="F400" s="3" t="s">
        <v>78</v>
      </c>
      <c r="G400" s="64">
        <v>9</v>
      </c>
      <c r="H400" s="3" t="s">
        <v>616</v>
      </c>
      <c r="I400" s="41"/>
      <c r="J400" s="63" t="s">
        <v>75</v>
      </c>
      <c r="K400" s="58" t="s">
        <v>247</v>
      </c>
      <c r="L400" s="75">
        <v>61</v>
      </c>
      <c r="M400" s="81">
        <v>57</v>
      </c>
      <c r="N400" s="84">
        <f>(Tabela1[[#This Row],[SIMULADO 2 NOTA]]-Tabela1[[#This Row],[SIMULADO 1 - NOTA]])</f>
        <v>-4</v>
      </c>
      <c r="O400" s="52"/>
      <c r="P400" s="52"/>
      <c r="Q400" s="52"/>
      <c r="R400" s="52"/>
      <c r="S400" s="52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34"/>
      <c r="BP400" s="22"/>
    </row>
    <row r="401" spans="1:68" s="3" customFormat="1" ht="25.5" customHeight="1">
      <c r="A401" s="22" t="s">
        <v>69</v>
      </c>
      <c r="B401" s="3">
        <v>28948980</v>
      </c>
      <c r="C401" s="3" t="s">
        <v>70</v>
      </c>
      <c r="D401" s="3" t="s">
        <v>71</v>
      </c>
      <c r="E401" s="6">
        <v>8610329429</v>
      </c>
      <c r="F401" s="3" t="s">
        <v>82</v>
      </c>
      <c r="G401" s="64">
        <v>9</v>
      </c>
      <c r="H401" s="3" t="s">
        <v>617</v>
      </c>
      <c r="I401" s="41"/>
      <c r="J401" s="63" t="s">
        <v>75</v>
      </c>
      <c r="K401" s="58" t="s">
        <v>130</v>
      </c>
      <c r="L401" s="76">
        <v>0</v>
      </c>
      <c r="M401" s="81">
        <v>45</v>
      </c>
      <c r="N401" s="79">
        <f>(Tabela1[[#This Row],[SIMULADO 2 NOTA]]-Tabela1[[#This Row],[SIMULADO 1 - NOTA]])</f>
        <v>45</v>
      </c>
      <c r="O401" s="53"/>
      <c r="P401" s="53"/>
      <c r="Q401" s="53"/>
      <c r="R401" s="53"/>
      <c r="S401" s="53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34"/>
      <c r="BP401" s="22"/>
    </row>
    <row r="402" spans="1:68" s="3" customFormat="1" ht="25.5" hidden="1" customHeight="1">
      <c r="A402" s="22" t="s">
        <v>69</v>
      </c>
      <c r="B402" s="3">
        <v>33362645</v>
      </c>
      <c r="C402" s="3" t="s">
        <v>70</v>
      </c>
      <c r="D402" s="3" t="s">
        <v>71</v>
      </c>
      <c r="E402" s="6">
        <v>7056029400</v>
      </c>
      <c r="F402" s="3" t="s">
        <v>72</v>
      </c>
      <c r="G402" s="64">
        <v>7</v>
      </c>
      <c r="H402" s="3" t="s">
        <v>618</v>
      </c>
      <c r="I402" s="41"/>
      <c r="J402" s="63" t="s">
        <v>77</v>
      </c>
      <c r="K402" s="57"/>
      <c r="L402" s="76">
        <v>0</v>
      </c>
      <c r="M402" s="81">
        <v>0</v>
      </c>
      <c r="N402" s="81">
        <f>(Tabela1[[#This Row],[SIMULADO 2 NOTA]]-Tabela1[[#This Row],[SIMULADO 1 - NOTA]])</f>
        <v>0</v>
      </c>
      <c r="O402" s="69"/>
      <c r="P402" s="69"/>
      <c r="Q402" s="69"/>
      <c r="R402" s="69"/>
      <c r="S402" s="69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34"/>
      <c r="BP402" s="22"/>
    </row>
    <row r="403" spans="1:68" s="3" customFormat="1" ht="25.5" customHeight="1">
      <c r="A403" s="22" t="s">
        <v>69</v>
      </c>
      <c r="B403" s="3">
        <v>25163787</v>
      </c>
      <c r="C403" s="3" t="s">
        <v>70</v>
      </c>
      <c r="D403" s="3" t="s">
        <v>71</v>
      </c>
      <c r="E403" s="6">
        <v>8587961390</v>
      </c>
      <c r="F403" s="3" t="s">
        <v>72</v>
      </c>
      <c r="G403" s="64">
        <v>11</v>
      </c>
      <c r="H403" s="15" t="s">
        <v>619</v>
      </c>
      <c r="I403" s="40" t="s">
        <v>74</v>
      </c>
      <c r="J403" s="63" t="s">
        <v>77</v>
      </c>
      <c r="K403" s="58" t="s">
        <v>471</v>
      </c>
      <c r="L403" s="75">
        <v>52</v>
      </c>
      <c r="M403" s="82">
        <v>44</v>
      </c>
      <c r="N403" s="84">
        <f>(Tabela1[[#This Row],[SIMULADO 2 NOTA]]-Tabela1[[#This Row],[SIMULADO 1 - NOTA]])</f>
        <v>-8</v>
      </c>
      <c r="O403" s="78"/>
      <c r="P403" s="78"/>
      <c r="Q403" s="78"/>
      <c r="R403" s="78"/>
      <c r="S403" s="78"/>
      <c r="T403" s="68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34"/>
      <c r="BP403" s="22"/>
    </row>
    <row r="404" spans="1:68" s="3" customFormat="1" ht="25.5" customHeight="1">
      <c r="A404" s="22" t="s">
        <v>69</v>
      </c>
      <c r="B404" s="3">
        <v>25069080</v>
      </c>
      <c r="C404" s="3" t="s">
        <v>70</v>
      </c>
      <c r="D404" s="3" t="s">
        <v>71</v>
      </c>
      <c r="E404" s="6">
        <v>13671382481</v>
      </c>
      <c r="F404" s="3" t="s">
        <v>72</v>
      </c>
      <c r="G404" s="64">
        <v>11</v>
      </c>
      <c r="H404" s="18" t="s">
        <v>620</v>
      </c>
      <c r="I404" s="43" t="s">
        <v>84</v>
      </c>
      <c r="J404" s="63" t="s">
        <v>77</v>
      </c>
      <c r="K404" s="58" t="s">
        <v>224</v>
      </c>
      <c r="L404" s="75">
        <v>48</v>
      </c>
      <c r="M404" s="82">
        <v>40</v>
      </c>
      <c r="N404" s="84">
        <f>(Tabela1[[#This Row],[SIMULADO 2 NOTA]]-Tabela1[[#This Row],[SIMULADO 1 - NOTA]])</f>
        <v>-8</v>
      </c>
      <c r="O404" s="78"/>
      <c r="P404" s="78"/>
      <c r="Q404" s="78"/>
      <c r="R404" s="78"/>
      <c r="S404" s="78"/>
      <c r="T404" s="68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34"/>
      <c r="BP404" s="22"/>
    </row>
    <row r="405" spans="1:68" s="3" customFormat="1" ht="25.5" hidden="1" customHeight="1">
      <c r="A405" s="22" t="s">
        <v>69</v>
      </c>
      <c r="B405" s="3">
        <v>25573411</v>
      </c>
      <c r="C405" s="3" t="s">
        <v>70</v>
      </c>
      <c r="D405" s="3" t="s">
        <v>71</v>
      </c>
      <c r="E405" s="6">
        <v>5957708437</v>
      </c>
      <c r="F405" s="3" t="s">
        <v>82</v>
      </c>
      <c r="G405" s="64">
        <v>11</v>
      </c>
      <c r="H405" s="18" t="s">
        <v>621</v>
      </c>
      <c r="I405" s="43" t="s">
        <v>84</v>
      </c>
      <c r="J405" s="63" t="s">
        <v>77</v>
      </c>
      <c r="K405" s="58" t="s">
        <v>622</v>
      </c>
      <c r="L405" s="75">
        <v>37</v>
      </c>
      <c r="M405" s="81">
        <v>0</v>
      </c>
      <c r="N405" s="84">
        <f>(Tabela1[[#This Row],[SIMULADO 2 NOTA]]-Tabela1[[#This Row],[SIMULADO 1 - NOTA]])</f>
        <v>-37</v>
      </c>
      <c r="O405" s="78"/>
      <c r="P405" s="78"/>
      <c r="Q405" s="78"/>
      <c r="R405" s="78"/>
      <c r="S405" s="78"/>
      <c r="T405" s="68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34"/>
      <c r="BP405" s="22"/>
    </row>
    <row r="406" spans="1:68" s="3" customFormat="1" ht="25.5" hidden="1" customHeight="1">
      <c r="A406" s="22" t="s">
        <v>69</v>
      </c>
      <c r="B406" s="3">
        <v>34067345</v>
      </c>
      <c r="C406" s="3" t="s">
        <v>70</v>
      </c>
      <c r="D406" s="3" t="s">
        <v>71</v>
      </c>
      <c r="E406" s="6">
        <v>15454691488</v>
      </c>
      <c r="F406" s="3" t="s">
        <v>82</v>
      </c>
      <c r="G406" s="64">
        <v>7</v>
      </c>
      <c r="H406" s="8" t="s">
        <v>623</v>
      </c>
      <c r="I406" s="42" t="s">
        <v>80</v>
      </c>
      <c r="J406" s="63" t="s">
        <v>77</v>
      </c>
      <c r="K406" s="58" t="s">
        <v>624</v>
      </c>
      <c r="L406" s="76">
        <v>0</v>
      </c>
      <c r="M406" s="81">
        <v>0</v>
      </c>
      <c r="N406" s="81">
        <f>(Tabela1[[#This Row],[SIMULADO 2 NOTA]]-Tabela1[[#This Row],[SIMULADO 1 - NOTA]])</f>
        <v>0</v>
      </c>
      <c r="O406" s="70"/>
      <c r="P406" s="70"/>
      <c r="Q406" s="70"/>
      <c r="R406" s="70"/>
      <c r="S406" s="70"/>
      <c r="T406" s="7"/>
      <c r="U406" s="7"/>
      <c r="V406" s="7">
        <v>0</v>
      </c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34"/>
      <c r="BP406" s="22"/>
    </row>
    <row r="407" spans="1:68" s="3" customFormat="1" ht="25.5" customHeight="1">
      <c r="A407" s="22" t="s">
        <v>69</v>
      </c>
      <c r="B407" s="3">
        <v>25489399</v>
      </c>
      <c r="C407" s="3" t="s">
        <v>70</v>
      </c>
      <c r="D407" s="3" t="s">
        <v>71</v>
      </c>
      <c r="E407" s="6">
        <v>5396807458</v>
      </c>
      <c r="F407" s="3" t="s">
        <v>82</v>
      </c>
      <c r="G407" s="64">
        <v>9</v>
      </c>
      <c r="H407" s="3" t="s">
        <v>625</v>
      </c>
      <c r="I407" s="41"/>
      <c r="J407" s="63" t="s">
        <v>75</v>
      </c>
      <c r="K407" s="58" t="s">
        <v>408</v>
      </c>
      <c r="L407" s="75">
        <v>75</v>
      </c>
      <c r="M407" s="81">
        <v>52</v>
      </c>
      <c r="N407" s="84">
        <f>(Tabela1[[#This Row],[SIMULADO 2 NOTA]]-Tabela1[[#This Row],[SIMULADO 1 - NOTA]])</f>
        <v>-23</v>
      </c>
      <c r="O407" s="52"/>
      <c r="P407" s="52"/>
      <c r="Q407" s="52"/>
      <c r="R407" s="52"/>
      <c r="S407" s="52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34"/>
      <c r="BP407" s="22"/>
    </row>
    <row r="408" spans="1:68" s="3" customFormat="1" ht="25.5" hidden="1" customHeight="1">
      <c r="A408" s="22" t="s">
        <v>69</v>
      </c>
      <c r="B408" s="3">
        <v>38199858</v>
      </c>
      <c r="C408" s="3" t="s">
        <v>70</v>
      </c>
      <c r="D408" s="3" t="s">
        <v>71</v>
      </c>
      <c r="E408" s="6">
        <v>8043673454</v>
      </c>
      <c r="F408" s="3" t="s">
        <v>82</v>
      </c>
      <c r="G408" s="64">
        <v>9</v>
      </c>
      <c r="H408" s="18" t="s">
        <v>626</v>
      </c>
      <c r="I408" s="43" t="s">
        <v>84</v>
      </c>
      <c r="J408" s="63" t="s">
        <v>75</v>
      </c>
      <c r="K408" s="58" t="s">
        <v>627</v>
      </c>
      <c r="L408" s="75">
        <v>49</v>
      </c>
      <c r="M408" s="81">
        <v>0</v>
      </c>
      <c r="N408" s="84">
        <f>(Tabela1[[#This Row],[SIMULADO 2 NOTA]]-Tabela1[[#This Row],[SIMULADO 1 - NOTA]])</f>
        <v>-49</v>
      </c>
      <c r="O408" s="52"/>
      <c r="P408" s="52"/>
      <c r="Q408" s="52"/>
      <c r="R408" s="52"/>
      <c r="S408" s="52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34"/>
      <c r="BP408" s="22"/>
    </row>
    <row r="409" spans="1:68" s="3" customFormat="1" ht="25.5" customHeight="1">
      <c r="A409" s="22" t="s">
        <v>69</v>
      </c>
      <c r="B409" s="3">
        <v>28946723</v>
      </c>
      <c r="C409" s="3" t="s">
        <v>70</v>
      </c>
      <c r="D409" s="3" t="s">
        <v>71</v>
      </c>
      <c r="E409" s="6">
        <v>15383508406</v>
      </c>
      <c r="F409" s="3" t="s">
        <v>82</v>
      </c>
      <c r="G409" s="64">
        <v>9</v>
      </c>
      <c r="H409" s="3" t="s">
        <v>628</v>
      </c>
      <c r="I409" s="41"/>
      <c r="J409" s="63" t="s">
        <v>75</v>
      </c>
      <c r="K409" s="58" t="s">
        <v>464</v>
      </c>
      <c r="L409" s="75">
        <v>65</v>
      </c>
      <c r="M409" s="81">
        <v>56</v>
      </c>
      <c r="N409" s="84">
        <f>(Tabela1[[#This Row],[SIMULADO 2 NOTA]]-Tabela1[[#This Row],[SIMULADO 1 - NOTA]])</f>
        <v>-9</v>
      </c>
      <c r="O409" s="52"/>
      <c r="P409" s="52"/>
      <c r="Q409" s="52"/>
      <c r="R409" s="52"/>
      <c r="S409" s="52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34"/>
      <c r="BP409" s="22"/>
    </row>
    <row r="410" spans="1:68" s="3" customFormat="1" ht="25.5" customHeight="1">
      <c r="A410" s="22" t="s">
        <v>69</v>
      </c>
      <c r="B410" s="3">
        <v>30856574</v>
      </c>
      <c r="C410" s="3" t="s">
        <v>70</v>
      </c>
      <c r="D410" s="3" t="s">
        <v>71</v>
      </c>
      <c r="E410" s="6">
        <v>7325901402</v>
      </c>
      <c r="F410" s="3" t="s">
        <v>78</v>
      </c>
      <c r="G410" s="64">
        <v>9</v>
      </c>
      <c r="H410" s="3" t="s">
        <v>629</v>
      </c>
      <c r="I410" s="41"/>
      <c r="J410" s="63" t="s">
        <v>75</v>
      </c>
      <c r="K410" s="58" t="s">
        <v>493</v>
      </c>
      <c r="L410" s="75">
        <v>64</v>
      </c>
      <c r="M410" s="81">
        <v>58</v>
      </c>
      <c r="N410" s="84">
        <f>(Tabela1[[#This Row],[SIMULADO 2 NOTA]]-Tabela1[[#This Row],[SIMULADO 1 - NOTA]])</f>
        <v>-6</v>
      </c>
      <c r="O410" s="54"/>
      <c r="P410" s="54"/>
      <c r="Q410" s="54"/>
      <c r="R410" s="54"/>
      <c r="S410" s="54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34"/>
      <c r="BP410" s="22"/>
    </row>
    <row r="411" spans="1:68" s="3" customFormat="1" ht="25.5" customHeight="1">
      <c r="A411" s="22" t="s">
        <v>69</v>
      </c>
      <c r="B411" s="3">
        <v>25493302</v>
      </c>
      <c r="C411" s="3" t="s">
        <v>70</v>
      </c>
      <c r="D411" s="3" t="s">
        <v>71</v>
      </c>
      <c r="E411" s="6">
        <v>8356339421</v>
      </c>
      <c r="F411" s="3" t="s">
        <v>82</v>
      </c>
      <c r="G411" s="64">
        <v>11</v>
      </c>
      <c r="H411" s="18" t="s">
        <v>630</v>
      </c>
      <c r="I411" s="43" t="s">
        <v>84</v>
      </c>
      <c r="J411" s="63" t="s">
        <v>77</v>
      </c>
      <c r="K411" s="58" t="s">
        <v>137</v>
      </c>
      <c r="L411" s="75">
        <v>43</v>
      </c>
      <c r="M411" s="82">
        <v>37</v>
      </c>
      <c r="N411" s="84">
        <f>(Tabela1[[#This Row],[SIMULADO 2 NOTA]]-Tabela1[[#This Row],[SIMULADO 1 - NOTA]])</f>
        <v>-6</v>
      </c>
      <c r="O411" s="78"/>
      <c r="P411" s="78"/>
      <c r="Q411" s="78"/>
      <c r="R411" s="78"/>
      <c r="S411" s="78"/>
      <c r="T411" s="68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34"/>
      <c r="BP411" s="22"/>
    </row>
    <row r="412" spans="1:68" s="3" customFormat="1" ht="25.5" customHeight="1">
      <c r="A412" s="22" t="s">
        <v>69</v>
      </c>
      <c r="B412" s="3">
        <v>31313922</v>
      </c>
      <c r="C412" s="3" t="s">
        <v>70</v>
      </c>
      <c r="D412" s="3" t="s">
        <v>71</v>
      </c>
      <c r="E412" s="6">
        <v>8292325409</v>
      </c>
      <c r="F412" s="3" t="s">
        <v>72</v>
      </c>
      <c r="G412" s="64">
        <v>11</v>
      </c>
      <c r="H412" s="15" t="s">
        <v>631</v>
      </c>
      <c r="I412" s="40" t="s">
        <v>74</v>
      </c>
      <c r="J412" s="63" t="s">
        <v>77</v>
      </c>
      <c r="K412" s="58" t="s">
        <v>382</v>
      </c>
      <c r="L412" s="75">
        <v>57</v>
      </c>
      <c r="M412" s="82">
        <v>51</v>
      </c>
      <c r="N412" s="84">
        <f>(Tabela1[[#This Row],[SIMULADO 2 NOTA]]-Tabela1[[#This Row],[SIMULADO 1 - NOTA]])</f>
        <v>-6</v>
      </c>
      <c r="O412" s="78"/>
      <c r="P412" s="78"/>
      <c r="Q412" s="78"/>
      <c r="R412" s="78"/>
      <c r="S412" s="78"/>
      <c r="T412" s="68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34"/>
      <c r="BP412" s="22"/>
    </row>
    <row r="413" spans="1:68" s="3" customFormat="1" ht="25.5" customHeight="1">
      <c r="A413" s="22" t="s">
        <v>69</v>
      </c>
      <c r="B413" s="3">
        <v>29019125</v>
      </c>
      <c r="C413" s="3" t="s">
        <v>70</v>
      </c>
      <c r="D413" s="3" t="s">
        <v>71</v>
      </c>
      <c r="E413" s="6">
        <v>7821383490</v>
      </c>
      <c r="F413" s="3" t="s">
        <v>91</v>
      </c>
      <c r="G413" s="64">
        <v>9</v>
      </c>
      <c r="H413" s="15" t="s">
        <v>632</v>
      </c>
      <c r="I413" s="40" t="s">
        <v>74</v>
      </c>
      <c r="J413" s="63" t="s">
        <v>75</v>
      </c>
      <c r="K413" s="58" t="s">
        <v>120</v>
      </c>
      <c r="L413" s="75">
        <v>53</v>
      </c>
      <c r="M413" s="81">
        <v>42</v>
      </c>
      <c r="N413" s="84">
        <f>(Tabela1[[#This Row],[SIMULADO 2 NOTA]]-Tabela1[[#This Row],[SIMULADO 1 - NOTA]])</f>
        <v>-11</v>
      </c>
      <c r="O413" s="72"/>
      <c r="P413" s="72"/>
      <c r="Q413" s="72"/>
      <c r="R413" s="72"/>
      <c r="S413" s="72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34"/>
      <c r="BP413" s="22"/>
    </row>
    <row r="414" spans="1:68" s="3" customFormat="1" ht="25.5" customHeight="1">
      <c r="A414" s="22" t="s">
        <v>69</v>
      </c>
      <c r="B414" s="3">
        <v>37989847</v>
      </c>
      <c r="C414" s="3" t="s">
        <v>70</v>
      </c>
      <c r="D414" s="3" t="s">
        <v>71</v>
      </c>
      <c r="E414" s="6">
        <v>62206001268</v>
      </c>
      <c r="F414" s="3" t="s">
        <v>72</v>
      </c>
      <c r="G414" s="64">
        <v>9</v>
      </c>
      <c r="H414" s="18" t="s">
        <v>633</v>
      </c>
      <c r="I414" s="43" t="s">
        <v>84</v>
      </c>
      <c r="J414" s="63" t="s">
        <v>75</v>
      </c>
      <c r="K414" s="58" t="s">
        <v>515</v>
      </c>
      <c r="L414" s="75">
        <v>49</v>
      </c>
      <c r="M414" s="81">
        <v>42</v>
      </c>
      <c r="N414" s="84">
        <f>(Tabela1[[#This Row],[SIMULADO 2 NOTA]]-Tabela1[[#This Row],[SIMULADO 1 - NOTA]])</f>
        <v>-7</v>
      </c>
      <c r="O414" s="52"/>
      <c r="P414" s="52"/>
      <c r="Q414" s="52"/>
      <c r="R414" s="52"/>
      <c r="S414" s="52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34"/>
      <c r="BP414" s="22"/>
    </row>
    <row r="415" spans="1:68" s="3" customFormat="1" ht="25.5" customHeight="1">
      <c r="A415" s="22" t="s">
        <v>69</v>
      </c>
      <c r="B415" s="3">
        <v>29885035</v>
      </c>
      <c r="C415" s="3" t="s">
        <v>70</v>
      </c>
      <c r="D415" s="3" t="s">
        <v>71</v>
      </c>
      <c r="E415" s="6">
        <v>3957380405</v>
      </c>
      <c r="F415" s="3" t="s">
        <v>91</v>
      </c>
      <c r="G415" s="64">
        <v>9</v>
      </c>
      <c r="H415" s="18" t="s">
        <v>634</v>
      </c>
      <c r="I415" s="43" t="s">
        <v>84</v>
      </c>
      <c r="J415" s="63" t="s">
        <v>75</v>
      </c>
      <c r="K415" s="58" t="s">
        <v>133</v>
      </c>
      <c r="L415" s="75">
        <v>49</v>
      </c>
      <c r="M415" s="81">
        <v>42</v>
      </c>
      <c r="N415" s="84">
        <f>(Tabela1[[#This Row],[SIMULADO 2 NOTA]]-Tabela1[[#This Row],[SIMULADO 1 - NOTA]])</f>
        <v>-7</v>
      </c>
      <c r="O415" s="52"/>
      <c r="P415" s="52"/>
      <c r="Q415" s="52"/>
      <c r="R415" s="52"/>
      <c r="S415" s="52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34"/>
      <c r="BP415" s="22"/>
    </row>
    <row r="416" spans="1:68" s="3" customFormat="1" ht="25.5" customHeight="1">
      <c r="A416" s="22" t="s">
        <v>69</v>
      </c>
      <c r="B416" s="3">
        <v>29199026</v>
      </c>
      <c r="C416" s="3" t="s">
        <v>70</v>
      </c>
      <c r="D416" s="3" t="s">
        <v>71</v>
      </c>
      <c r="E416" s="6">
        <v>6898267450</v>
      </c>
      <c r="F416" s="3" t="s">
        <v>72</v>
      </c>
      <c r="G416" s="64">
        <v>9</v>
      </c>
      <c r="H416" s="3" t="s">
        <v>635</v>
      </c>
      <c r="I416" s="41"/>
      <c r="J416" s="63" t="s">
        <v>75</v>
      </c>
      <c r="K416" s="58" t="s">
        <v>172</v>
      </c>
      <c r="L416" s="75">
        <v>62</v>
      </c>
      <c r="M416" s="81">
        <v>48</v>
      </c>
      <c r="N416" s="84">
        <f>(Tabela1[[#This Row],[SIMULADO 2 NOTA]]-Tabela1[[#This Row],[SIMULADO 1 - NOTA]])</f>
        <v>-14</v>
      </c>
      <c r="O416" s="54"/>
      <c r="P416" s="54"/>
      <c r="Q416" s="54"/>
      <c r="R416" s="54"/>
      <c r="S416" s="54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34"/>
      <c r="BP416" s="22"/>
    </row>
    <row r="417" spans="1:68" s="3" customFormat="1" ht="25.5" customHeight="1">
      <c r="A417" s="22" t="s">
        <v>69</v>
      </c>
      <c r="B417" s="3">
        <v>32115041</v>
      </c>
      <c r="C417" s="3" t="s">
        <v>70</v>
      </c>
      <c r="D417" s="3" t="s">
        <v>71</v>
      </c>
      <c r="E417" s="6">
        <v>70055942407</v>
      </c>
      <c r="F417" s="3" t="s">
        <v>82</v>
      </c>
      <c r="G417" s="64">
        <v>11</v>
      </c>
      <c r="H417" s="18" t="s">
        <v>636</v>
      </c>
      <c r="I417" s="43" t="s">
        <v>84</v>
      </c>
      <c r="J417" s="63" t="s">
        <v>77</v>
      </c>
      <c r="K417" s="58" t="s">
        <v>529</v>
      </c>
      <c r="L417" s="75">
        <v>48</v>
      </c>
      <c r="M417" s="82">
        <v>50</v>
      </c>
      <c r="N417" s="92">
        <f>(Tabela1[[#This Row],[SIMULADO 2 NOTA]]-Tabela1[[#This Row],[SIMULADO 1 - NOTA]])</f>
        <v>2</v>
      </c>
      <c r="O417" s="78"/>
      <c r="P417" s="78"/>
      <c r="Q417" s="78"/>
      <c r="R417" s="78"/>
      <c r="S417" s="78"/>
      <c r="T417" s="68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34"/>
      <c r="BP417" s="22"/>
    </row>
    <row r="418" spans="1:68" s="3" customFormat="1" ht="25.5" hidden="1" customHeight="1">
      <c r="A418" s="22" t="s">
        <v>69</v>
      </c>
      <c r="B418" s="3">
        <v>32136978</v>
      </c>
      <c r="C418" s="3" t="s">
        <v>70</v>
      </c>
      <c r="D418" s="3" t="s">
        <v>71</v>
      </c>
      <c r="E418" s="6">
        <v>70625125401</v>
      </c>
      <c r="F418" s="3" t="s">
        <v>82</v>
      </c>
      <c r="G418" s="64">
        <v>11</v>
      </c>
      <c r="H418" s="18" t="s">
        <v>637</v>
      </c>
      <c r="I418" s="43" t="s">
        <v>84</v>
      </c>
      <c r="J418" s="63" t="s">
        <v>77</v>
      </c>
      <c r="K418" s="58" t="s">
        <v>355</v>
      </c>
      <c r="L418" s="75">
        <v>42</v>
      </c>
      <c r="M418" s="81">
        <v>0</v>
      </c>
      <c r="N418" s="84">
        <f>(Tabela1[[#This Row],[SIMULADO 2 NOTA]]-Tabela1[[#This Row],[SIMULADO 1 - NOTA]])</f>
        <v>-42</v>
      </c>
      <c r="O418" s="78"/>
      <c r="P418" s="78"/>
      <c r="Q418" s="78"/>
      <c r="R418" s="78"/>
      <c r="S418" s="78"/>
      <c r="T418" s="68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34"/>
      <c r="BP418" s="22"/>
    </row>
    <row r="419" spans="1:68" s="3" customFormat="1" ht="25.5" customHeight="1">
      <c r="A419" s="22" t="s">
        <v>69</v>
      </c>
      <c r="B419" s="3">
        <v>30082366</v>
      </c>
      <c r="C419" s="3" t="s">
        <v>70</v>
      </c>
      <c r="D419" s="3" t="s">
        <v>71</v>
      </c>
      <c r="E419" s="6">
        <v>6135890417</v>
      </c>
      <c r="F419" s="3" t="s">
        <v>72</v>
      </c>
      <c r="G419" s="64">
        <v>11</v>
      </c>
      <c r="H419" s="3" t="s">
        <v>638</v>
      </c>
      <c r="I419" s="41"/>
      <c r="J419" s="63" t="s">
        <v>77</v>
      </c>
      <c r="K419" s="58" t="s">
        <v>428</v>
      </c>
      <c r="L419" s="75">
        <v>67</v>
      </c>
      <c r="M419" s="82">
        <v>61</v>
      </c>
      <c r="N419" s="84">
        <f>(Tabela1[[#This Row],[SIMULADO 2 NOTA]]-Tabela1[[#This Row],[SIMULADO 1 - NOTA]])</f>
        <v>-6</v>
      </c>
      <c r="O419" s="78"/>
      <c r="P419" s="78"/>
      <c r="Q419" s="78"/>
      <c r="R419" s="78"/>
      <c r="S419" s="78"/>
      <c r="T419" s="68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34"/>
      <c r="BP419" s="22"/>
    </row>
    <row r="420" spans="1:68" s="3" customFormat="1" ht="25.5" hidden="1" customHeight="1">
      <c r="A420" s="22" t="s">
        <v>69</v>
      </c>
      <c r="B420" s="3">
        <v>31283462</v>
      </c>
      <c r="C420" s="3" t="s">
        <v>70</v>
      </c>
      <c r="D420" s="3" t="s">
        <v>71</v>
      </c>
      <c r="E420" s="6">
        <v>2563998409</v>
      </c>
      <c r="F420" s="3" t="s">
        <v>82</v>
      </c>
      <c r="G420" s="64">
        <v>11</v>
      </c>
      <c r="H420" s="18" t="s">
        <v>639</v>
      </c>
      <c r="I420" s="43" t="s">
        <v>84</v>
      </c>
      <c r="J420" s="63" t="s">
        <v>77</v>
      </c>
      <c r="K420" s="58" t="s">
        <v>212</v>
      </c>
      <c r="L420" s="75">
        <v>49</v>
      </c>
      <c r="M420" s="81">
        <v>0</v>
      </c>
      <c r="N420" s="84">
        <f>(Tabela1[[#This Row],[SIMULADO 2 NOTA]]-Tabela1[[#This Row],[SIMULADO 1 - NOTA]])</f>
        <v>-49</v>
      </c>
      <c r="O420" s="78"/>
      <c r="P420" s="78"/>
      <c r="Q420" s="78"/>
      <c r="R420" s="78"/>
      <c r="S420" s="78"/>
      <c r="T420" s="68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34"/>
      <c r="BP420" s="22"/>
    </row>
    <row r="421" spans="1:68" s="3" customFormat="1" ht="25.5" customHeight="1">
      <c r="A421" s="22" t="s">
        <v>69</v>
      </c>
      <c r="B421" s="3">
        <v>31284469</v>
      </c>
      <c r="C421" s="3" t="s">
        <v>70</v>
      </c>
      <c r="D421" s="3" t="s">
        <v>71</v>
      </c>
      <c r="E421" s="6">
        <v>8695226476</v>
      </c>
      <c r="F421" s="3" t="s">
        <v>82</v>
      </c>
      <c r="G421" s="64">
        <v>11</v>
      </c>
      <c r="H421" s="15" t="s">
        <v>640</v>
      </c>
      <c r="I421" s="40" t="s">
        <v>74</v>
      </c>
      <c r="J421" s="63" t="s">
        <v>77</v>
      </c>
      <c r="K421" s="58" t="s">
        <v>268</v>
      </c>
      <c r="L421" s="75">
        <v>58</v>
      </c>
      <c r="M421" s="82">
        <v>51</v>
      </c>
      <c r="N421" s="84">
        <f>(Tabela1[[#This Row],[SIMULADO 2 NOTA]]-Tabela1[[#This Row],[SIMULADO 1 - NOTA]])</f>
        <v>-7</v>
      </c>
      <c r="O421" s="78"/>
      <c r="P421" s="78"/>
      <c r="Q421" s="78"/>
      <c r="R421" s="78"/>
      <c r="S421" s="78"/>
      <c r="T421" s="68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34"/>
      <c r="BP421" s="22"/>
    </row>
    <row r="422" spans="1:68" s="3" customFormat="1" ht="25.5" customHeight="1">
      <c r="A422" s="22" t="s">
        <v>69</v>
      </c>
      <c r="B422" s="3">
        <v>30095620</v>
      </c>
      <c r="C422" s="3" t="s">
        <v>70</v>
      </c>
      <c r="D422" s="3" t="s">
        <v>71</v>
      </c>
      <c r="E422" s="6">
        <v>6136064421</v>
      </c>
      <c r="F422" s="3" t="s">
        <v>72</v>
      </c>
      <c r="G422" s="64">
        <v>11</v>
      </c>
      <c r="H422" s="15" t="s">
        <v>641</v>
      </c>
      <c r="I422" s="40" t="s">
        <v>74</v>
      </c>
      <c r="J422" s="63" t="s">
        <v>77</v>
      </c>
      <c r="K422" s="58" t="s">
        <v>255</v>
      </c>
      <c r="L422" s="75">
        <v>51</v>
      </c>
      <c r="M422" s="82">
        <v>38</v>
      </c>
      <c r="N422" s="84">
        <f>(Tabela1[[#This Row],[SIMULADO 2 NOTA]]-Tabela1[[#This Row],[SIMULADO 1 - NOTA]])</f>
        <v>-13</v>
      </c>
      <c r="O422" s="78"/>
      <c r="P422" s="78"/>
      <c r="Q422" s="78"/>
      <c r="R422" s="78"/>
      <c r="S422" s="78"/>
      <c r="T422" s="68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34"/>
      <c r="BP422" s="22"/>
    </row>
    <row r="423" spans="1:68" s="3" customFormat="1" ht="25.5" customHeight="1">
      <c r="A423" s="22" t="s">
        <v>69</v>
      </c>
      <c r="B423" s="3">
        <v>35405422</v>
      </c>
      <c r="C423" s="3" t="s">
        <v>70</v>
      </c>
      <c r="D423" s="3" t="s">
        <v>71</v>
      </c>
      <c r="E423" s="6">
        <v>898785405</v>
      </c>
      <c r="F423" s="3" t="s">
        <v>82</v>
      </c>
      <c r="G423" s="64">
        <v>9</v>
      </c>
      <c r="H423" s="15" t="s">
        <v>642</v>
      </c>
      <c r="I423" s="40" t="s">
        <v>74</v>
      </c>
      <c r="J423" s="63" t="s">
        <v>75</v>
      </c>
      <c r="K423" s="58" t="s">
        <v>89</v>
      </c>
      <c r="L423" s="75">
        <v>57</v>
      </c>
      <c r="M423" s="81">
        <v>50</v>
      </c>
      <c r="N423" s="84">
        <f>(Tabela1[[#This Row],[SIMULADO 2 NOTA]]-Tabela1[[#This Row],[SIMULADO 1 - NOTA]])</f>
        <v>-7</v>
      </c>
      <c r="O423" s="71"/>
      <c r="P423" s="71"/>
      <c r="Q423" s="71"/>
      <c r="R423" s="71"/>
      <c r="S423" s="71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34"/>
      <c r="BP423" s="22"/>
    </row>
    <row r="424" spans="1:68" s="3" customFormat="1" ht="25.5" customHeight="1">
      <c r="A424" s="22" t="s">
        <v>69</v>
      </c>
      <c r="B424" s="3">
        <v>26310813</v>
      </c>
      <c r="C424" s="3" t="s">
        <v>70</v>
      </c>
      <c r="D424" s="3" t="s">
        <v>71</v>
      </c>
      <c r="E424" s="6">
        <v>10674218400</v>
      </c>
      <c r="F424" s="3" t="s">
        <v>72</v>
      </c>
      <c r="G424" s="64">
        <v>11</v>
      </c>
      <c r="H424" s="18" t="s">
        <v>643</v>
      </c>
      <c r="I424" s="43" t="s">
        <v>84</v>
      </c>
      <c r="J424" s="63" t="s">
        <v>77</v>
      </c>
      <c r="K424" s="58" t="s">
        <v>296</v>
      </c>
      <c r="L424" s="75">
        <v>46</v>
      </c>
      <c r="M424" s="82">
        <v>43</v>
      </c>
      <c r="N424" s="84">
        <f>(Tabela1[[#This Row],[SIMULADO 2 NOTA]]-Tabela1[[#This Row],[SIMULADO 1 - NOTA]])</f>
        <v>-3</v>
      </c>
      <c r="O424" s="78"/>
      <c r="P424" s="78"/>
      <c r="Q424" s="78"/>
      <c r="R424" s="78"/>
      <c r="S424" s="78"/>
      <c r="T424" s="68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34"/>
      <c r="BP424" s="22"/>
    </row>
    <row r="425" spans="1:68" s="3" customFormat="1" ht="25.5" hidden="1" customHeight="1">
      <c r="A425" s="22" t="s">
        <v>69</v>
      </c>
      <c r="B425" s="3">
        <v>32703597</v>
      </c>
      <c r="C425" s="3" t="s">
        <v>70</v>
      </c>
      <c r="D425" s="3" t="s">
        <v>71</v>
      </c>
      <c r="E425" s="6">
        <v>9035838440</v>
      </c>
      <c r="F425" s="3" t="s">
        <v>72</v>
      </c>
      <c r="G425" s="64">
        <v>7</v>
      </c>
      <c r="H425" s="3" t="s">
        <v>644</v>
      </c>
      <c r="I425" s="41"/>
      <c r="J425" s="63" t="s">
        <v>77</v>
      </c>
      <c r="K425" s="57"/>
      <c r="L425" s="76">
        <v>0</v>
      </c>
      <c r="M425" s="81">
        <v>0</v>
      </c>
      <c r="N425" s="81">
        <f>(Tabela1[[#This Row],[SIMULADO 2 NOTA]]-Tabela1[[#This Row],[SIMULADO 1 - NOTA]])</f>
        <v>0</v>
      </c>
      <c r="O425" s="73"/>
      <c r="P425" s="73"/>
      <c r="Q425" s="73"/>
      <c r="R425" s="73"/>
      <c r="S425" s="73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34"/>
      <c r="BP425" s="22"/>
    </row>
    <row r="426" spans="1:68" s="3" customFormat="1" ht="25.5" customHeight="1">
      <c r="A426" s="22" t="s">
        <v>69</v>
      </c>
      <c r="B426" s="3">
        <v>25491091</v>
      </c>
      <c r="C426" s="3" t="s">
        <v>70</v>
      </c>
      <c r="D426" s="3" t="s">
        <v>71</v>
      </c>
      <c r="E426" s="6">
        <v>11105815480</v>
      </c>
      <c r="F426" s="3" t="s">
        <v>72</v>
      </c>
      <c r="G426" s="64">
        <v>11</v>
      </c>
      <c r="H426" s="18" t="s">
        <v>645</v>
      </c>
      <c r="I426" s="43" t="s">
        <v>84</v>
      </c>
      <c r="J426" s="63" t="s">
        <v>77</v>
      </c>
      <c r="K426" s="58" t="s">
        <v>135</v>
      </c>
      <c r="L426" s="75">
        <v>44</v>
      </c>
      <c r="M426" s="82">
        <v>34</v>
      </c>
      <c r="N426" s="84">
        <f>(Tabela1[[#This Row],[SIMULADO 2 NOTA]]-Tabela1[[#This Row],[SIMULADO 1 - NOTA]])</f>
        <v>-10</v>
      </c>
      <c r="O426" s="78"/>
      <c r="P426" s="78"/>
      <c r="Q426" s="78"/>
      <c r="R426" s="78"/>
      <c r="S426" s="78"/>
      <c r="T426" s="68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34"/>
      <c r="BP426" s="22"/>
    </row>
    <row r="427" spans="1:68" s="3" customFormat="1" ht="25.5" customHeight="1">
      <c r="A427" s="22" t="s">
        <v>69</v>
      </c>
      <c r="B427" s="3">
        <v>34665676</v>
      </c>
      <c r="C427" s="3" t="s">
        <v>70</v>
      </c>
      <c r="D427" s="3" t="s">
        <v>71</v>
      </c>
      <c r="E427" s="6">
        <v>11045669407</v>
      </c>
      <c r="F427" s="3" t="s">
        <v>91</v>
      </c>
      <c r="G427" s="64">
        <v>7</v>
      </c>
      <c r="H427" s="3" t="s">
        <v>646</v>
      </c>
      <c r="I427" s="41"/>
      <c r="J427" s="63" t="s">
        <v>77</v>
      </c>
      <c r="K427" s="57"/>
      <c r="L427" s="76">
        <v>0</v>
      </c>
      <c r="M427" s="81">
        <v>59</v>
      </c>
      <c r="N427" s="79">
        <f>(Tabela1[[#This Row],[SIMULADO 2 NOTA]]-Tabela1[[#This Row],[SIMULADO 1 - NOTA]])</f>
        <v>59</v>
      </c>
      <c r="O427" s="70"/>
      <c r="P427" s="70"/>
      <c r="Q427" s="70"/>
      <c r="R427" s="70"/>
      <c r="S427" s="70"/>
      <c r="T427" s="7"/>
      <c r="U427" s="7"/>
      <c r="V427" s="7" t="s">
        <v>87</v>
      </c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34"/>
      <c r="BP427" s="22"/>
    </row>
    <row r="428" spans="1:68" s="3" customFormat="1" ht="25.5" hidden="1" customHeight="1">
      <c r="A428" s="22" t="s">
        <v>69</v>
      </c>
      <c r="B428" s="5">
        <v>34127917</v>
      </c>
      <c r="C428" s="3" t="s">
        <v>70</v>
      </c>
      <c r="D428" s="3" t="s">
        <v>71</v>
      </c>
      <c r="E428" s="6">
        <v>8843048414</v>
      </c>
      <c r="F428" s="3" t="s">
        <v>78</v>
      </c>
      <c r="G428" s="64">
        <v>7</v>
      </c>
      <c r="H428" s="3" t="s">
        <v>647</v>
      </c>
      <c r="I428" s="41"/>
      <c r="J428" s="63" t="s">
        <v>77</v>
      </c>
      <c r="K428" s="57"/>
      <c r="L428" s="76">
        <v>0</v>
      </c>
      <c r="M428" s="81">
        <v>0</v>
      </c>
      <c r="N428" s="81">
        <f>(Tabela1[[#This Row],[SIMULADO 2 NOTA]]-Tabela1[[#This Row],[SIMULADO 1 - NOTA]])</f>
        <v>0</v>
      </c>
      <c r="O428" s="53"/>
      <c r="P428" s="53"/>
      <c r="Q428" s="53"/>
      <c r="R428" s="53"/>
      <c r="S428" s="53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34"/>
      <c r="BP428" s="22"/>
    </row>
    <row r="429" spans="1:68" s="3" customFormat="1" ht="25.5" hidden="1" customHeight="1">
      <c r="A429" s="22" t="s">
        <v>69</v>
      </c>
      <c r="B429" s="3">
        <v>34028391</v>
      </c>
      <c r="C429" s="3" t="s">
        <v>70</v>
      </c>
      <c r="D429" s="3" t="s">
        <v>71</v>
      </c>
      <c r="E429" s="6">
        <v>6423243522</v>
      </c>
      <c r="F429" s="3" t="s">
        <v>82</v>
      </c>
      <c r="G429" s="64">
        <v>7</v>
      </c>
      <c r="H429" s="3" t="s">
        <v>648</v>
      </c>
      <c r="I429" s="41"/>
      <c r="J429" s="63" t="s">
        <v>77</v>
      </c>
      <c r="K429" s="57"/>
      <c r="L429" s="76">
        <v>0</v>
      </c>
      <c r="M429" s="81">
        <v>0</v>
      </c>
      <c r="N429" s="81">
        <f>(Tabela1[[#This Row],[SIMULADO 2 NOTA]]-Tabela1[[#This Row],[SIMULADO 1 - NOTA]])</f>
        <v>0</v>
      </c>
      <c r="O429" s="53"/>
      <c r="P429" s="53"/>
      <c r="Q429" s="53"/>
      <c r="R429" s="53"/>
      <c r="S429" s="53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34"/>
      <c r="BP429" s="22"/>
    </row>
    <row r="430" spans="1:68" s="3" customFormat="1" ht="25.5" customHeight="1">
      <c r="A430" s="22" t="s">
        <v>69</v>
      </c>
      <c r="B430" s="3">
        <v>29380936</v>
      </c>
      <c r="C430" s="3" t="s">
        <v>70</v>
      </c>
      <c r="D430" s="3" t="s">
        <v>71</v>
      </c>
      <c r="E430" s="6">
        <v>12216338486</v>
      </c>
      <c r="F430" s="3" t="s">
        <v>78</v>
      </c>
      <c r="G430" s="64">
        <v>9</v>
      </c>
      <c r="H430" s="15" t="s">
        <v>649</v>
      </c>
      <c r="I430" s="40" t="s">
        <v>74</v>
      </c>
      <c r="J430" s="63" t="s">
        <v>75</v>
      </c>
      <c r="K430" s="58" t="s">
        <v>444</v>
      </c>
      <c r="L430" s="75">
        <v>53</v>
      </c>
      <c r="M430" s="81">
        <v>39</v>
      </c>
      <c r="N430" s="84">
        <f>(Tabela1[[#This Row],[SIMULADO 2 NOTA]]-Tabela1[[#This Row],[SIMULADO 1 - NOTA]])</f>
        <v>-14</v>
      </c>
      <c r="O430" s="54"/>
      <c r="P430" s="54"/>
      <c r="Q430" s="54"/>
      <c r="R430" s="54"/>
      <c r="S430" s="5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34"/>
      <c r="BP430" s="22"/>
    </row>
    <row r="431" spans="1:68" s="3" customFormat="1" ht="25.5" customHeight="1">
      <c r="A431" s="22" t="s">
        <v>69</v>
      </c>
      <c r="B431" s="3">
        <v>25078798</v>
      </c>
      <c r="C431" s="3" t="s">
        <v>70</v>
      </c>
      <c r="D431" s="3" t="s">
        <v>71</v>
      </c>
      <c r="E431" s="6">
        <v>70367844400</v>
      </c>
      <c r="F431" s="3" t="s">
        <v>72</v>
      </c>
      <c r="G431" s="64">
        <v>11</v>
      </c>
      <c r="H431" s="3" t="s">
        <v>650</v>
      </c>
      <c r="I431" s="41"/>
      <c r="J431" s="63" t="s">
        <v>77</v>
      </c>
      <c r="K431" s="58" t="s">
        <v>137</v>
      </c>
      <c r="L431" s="75">
        <v>62</v>
      </c>
      <c r="M431" s="82">
        <v>58</v>
      </c>
      <c r="N431" s="84">
        <f>(Tabela1[[#This Row],[SIMULADO 2 NOTA]]-Tabela1[[#This Row],[SIMULADO 1 - NOTA]])</f>
        <v>-4</v>
      </c>
      <c r="O431" s="78"/>
      <c r="P431" s="78"/>
      <c r="Q431" s="78"/>
      <c r="R431" s="78"/>
      <c r="S431" s="78"/>
      <c r="T431" s="68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34"/>
      <c r="BP431" s="22"/>
    </row>
    <row r="432" spans="1:68" s="3" customFormat="1" ht="25.5" hidden="1" customHeight="1">
      <c r="A432" s="22" t="s">
        <v>69</v>
      </c>
      <c r="B432" s="3">
        <v>32661029</v>
      </c>
      <c r="C432" s="3" t="s">
        <v>70</v>
      </c>
      <c r="D432" s="3" t="s">
        <v>71</v>
      </c>
      <c r="E432" s="6">
        <v>6832060440</v>
      </c>
      <c r="F432" s="3" t="s">
        <v>82</v>
      </c>
      <c r="G432" s="64">
        <v>7</v>
      </c>
      <c r="H432" s="3" t="s">
        <v>651</v>
      </c>
      <c r="I432" s="41"/>
      <c r="J432" s="63" t="s">
        <v>77</v>
      </c>
      <c r="K432" s="57"/>
      <c r="L432" s="76">
        <v>0</v>
      </c>
      <c r="M432" s="81">
        <v>0</v>
      </c>
      <c r="N432" s="81">
        <f>(Tabela1[[#This Row],[SIMULADO 2 NOTA]]-Tabela1[[#This Row],[SIMULADO 1 - NOTA]])</f>
        <v>0</v>
      </c>
      <c r="O432" s="70"/>
      <c r="P432" s="70"/>
      <c r="Q432" s="70"/>
      <c r="R432" s="70"/>
      <c r="S432" s="70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34"/>
      <c r="BP432" s="22"/>
    </row>
    <row r="433" spans="1:68" s="3" customFormat="1" ht="25.5" hidden="1" customHeight="1">
      <c r="A433" s="22" t="s">
        <v>69</v>
      </c>
      <c r="B433" s="11">
        <v>23415860</v>
      </c>
      <c r="C433" s="3" t="s">
        <v>70</v>
      </c>
      <c r="D433" s="5" t="s">
        <v>109</v>
      </c>
      <c r="E433" s="6"/>
      <c r="F433" s="11" t="s">
        <v>82</v>
      </c>
      <c r="G433" s="66">
        <v>11</v>
      </c>
      <c r="H433" s="12" t="s">
        <v>652</v>
      </c>
      <c r="I433" s="42" t="s">
        <v>80</v>
      </c>
      <c r="J433" s="63" t="s">
        <v>75</v>
      </c>
      <c r="K433" s="59"/>
      <c r="L433" s="76">
        <v>0</v>
      </c>
      <c r="M433" s="81">
        <v>0</v>
      </c>
      <c r="N433" s="81">
        <f>(Tabela1[[#This Row],[SIMULADO 2 NOTA]]-Tabela1[[#This Row],[SIMULADO 1 - NOTA]])</f>
        <v>0</v>
      </c>
      <c r="O433" s="53"/>
      <c r="P433" s="53"/>
      <c r="Q433" s="53"/>
      <c r="R433" s="53"/>
      <c r="S433" s="53"/>
      <c r="T433" s="7" t="s">
        <v>87</v>
      </c>
      <c r="U433" s="7" t="s">
        <v>87</v>
      </c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 t="s">
        <v>87</v>
      </c>
      <c r="BI433" s="7" t="s">
        <v>87</v>
      </c>
      <c r="BJ433" s="7"/>
      <c r="BK433" s="7"/>
      <c r="BL433" s="7"/>
      <c r="BM433" s="7"/>
      <c r="BN433" s="7">
        <v>0</v>
      </c>
      <c r="BO433" s="34">
        <v>0</v>
      </c>
      <c r="BP433" s="22"/>
    </row>
    <row r="434" spans="1:68" s="3" customFormat="1" ht="25.5" customHeight="1">
      <c r="A434" s="22" t="s">
        <v>69</v>
      </c>
      <c r="B434" s="3">
        <v>30977061</v>
      </c>
      <c r="C434" s="3" t="s">
        <v>70</v>
      </c>
      <c r="D434" s="3" t="s">
        <v>71</v>
      </c>
      <c r="E434" s="6">
        <v>5898002480</v>
      </c>
      <c r="F434" s="3" t="s">
        <v>91</v>
      </c>
      <c r="G434" s="64">
        <v>9</v>
      </c>
      <c r="H434" s="15" t="s">
        <v>653</v>
      </c>
      <c r="I434" s="40" t="s">
        <v>74</v>
      </c>
      <c r="J434" s="63" t="s">
        <v>75</v>
      </c>
      <c r="K434" s="58" t="s">
        <v>468</v>
      </c>
      <c r="L434" s="75">
        <v>53</v>
      </c>
      <c r="M434" s="81">
        <v>43</v>
      </c>
      <c r="N434" s="84">
        <f>(Tabela1[[#This Row],[SIMULADO 2 NOTA]]-Tabela1[[#This Row],[SIMULADO 1 - NOTA]])</f>
        <v>-10</v>
      </c>
      <c r="O434" s="52"/>
      <c r="P434" s="52"/>
      <c r="Q434" s="52"/>
      <c r="R434" s="52"/>
      <c r="S434" s="52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34"/>
      <c r="BP434" s="22"/>
    </row>
    <row r="435" spans="1:68" s="3" customFormat="1" ht="25.5" customHeight="1">
      <c r="A435" s="22" t="s">
        <v>69</v>
      </c>
      <c r="B435" s="3">
        <v>32756437</v>
      </c>
      <c r="C435" s="3" t="s">
        <v>70</v>
      </c>
      <c r="D435" s="3" t="s">
        <v>71</v>
      </c>
      <c r="E435" s="6">
        <v>844645427</v>
      </c>
      <c r="F435" s="3" t="s">
        <v>82</v>
      </c>
      <c r="G435" s="64">
        <v>7</v>
      </c>
      <c r="H435" s="3" t="s">
        <v>654</v>
      </c>
      <c r="I435" s="41"/>
      <c r="J435" s="63" t="s">
        <v>77</v>
      </c>
      <c r="K435" s="57"/>
      <c r="L435" s="76">
        <v>0</v>
      </c>
      <c r="M435" s="81">
        <v>46</v>
      </c>
      <c r="N435" s="79">
        <f>(Tabela1[[#This Row],[SIMULADO 2 NOTA]]-Tabela1[[#This Row],[SIMULADO 1 - NOTA]])</f>
        <v>46</v>
      </c>
      <c r="O435" s="53"/>
      <c r="P435" s="53"/>
      <c r="Q435" s="53"/>
      <c r="R435" s="53"/>
      <c r="S435" s="53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34"/>
      <c r="BP435" s="22"/>
    </row>
    <row r="436" spans="1:68" s="3" customFormat="1" ht="25.5" customHeight="1">
      <c r="A436" s="22" t="s">
        <v>69</v>
      </c>
      <c r="B436" s="5">
        <v>34578421</v>
      </c>
      <c r="C436" s="3" t="s">
        <v>70</v>
      </c>
      <c r="D436" s="3" t="s">
        <v>71</v>
      </c>
      <c r="E436" s="6">
        <v>11986216489</v>
      </c>
      <c r="F436" s="3" t="s">
        <v>78</v>
      </c>
      <c r="G436" s="64">
        <v>7</v>
      </c>
      <c r="H436" s="3" t="s">
        <v>655</v>
      </c>
      <c r="I436" s="41"/>
      <c r="J436" s="63" t="s">
        <v>77</v>
      </c>
      <c r="K436" s="57"/>
      <c r="L436" s="76">
        <v>0</v>
      </c>
      <c r="M436" s="81">
        <v>46</v>
      </c>
      <c r="N436" s="79">
        <f>(Tabela1[[#This Row],[SIMULADO 2 NOTA]]-Tabela1[[#This Row],[SIMULADO 1 - NOTA]])</f>
        <v>46</v>
      </c>
      <c r="O436" s="53"/>
      <c r="P436" s="53"/>
      <c r="Q436" s="53"/>
      <c r="R436" s="53"/>
      <c r="S436" s="53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34"/>
      <c r="BP436" s="22"/>
    </row>
    <row r="437" spans="1:68" s="3" customFormat="1" ht="25.5" hidden="1" customHeight="1">
      <c r="A437" s="22" t="s">
        <v>69</v>
      </c>
      <c r="B437" s="3">
        <v>33641200</v>
      </c>
      <c r="C437" s="3" t="s">
        <v>70</v>
      </c>
      <c r="D437" s="3" t="s">
        <v>71</v>
      </c>
      <c r="E437" s="6">
        <v>60564546305</v>
      </c>
      <c r="F437" s="3" t="s">
        <v>91</v>
      </c>
      <c r="G437" s="64">
        <v>7</v>
      </c>
      <c r="H437" s="3" t="s">
        <v>656</v>
      </c>
      <c r="I437" s="41"/>
      <c r="J437" s="63" t="s">
        <v>77</v>
      </c>
      <c r="K437" s="57"/>
      <c r="L437" s="76">
        <v>0</v>
      </c>
      <c r="M437" s="81">
        <v>32</v>
      </c>
      <c r="N437" s="79">
        <f>(Tabela1[[#This Row],[SIMULADO 2 NOTA]]-Tabela1[[#This Row],[SIMULADO 1 - NOTA]])</f>
        <v>32</v>
      </c>
      <c r="O437" s="53"/>
      <c r="P437" s="53"/>
      <c r="Q437" s="53"/>
      <c r="R437" s="53"/>
      <c r="S437" s="53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34"/>
      <c r="BP437" s="22"/>
    </row>
    <row r="438" spans="1:68" s="3" customFormat="1" ht="25.5" customHeight="1">
      <c r="A438" s="22" t="s">
        <v>69</v>
      </c>
      <c r="B438" s="3">
        <v>33473943</v>
      </c>
      <c r="C438" s="3" t="s">
        <v>70</v>
      </c>
      <c r="D438" s="3" t="s">
        <v>71</v>
      </c>
      <c r="E438" s="6">
        <v>70701351497</v>
      </c>
      <c r="F438" s="3" t="s">
        <v>72</v>
      </c>
      <c r="G438" s="64">
        <v>7</v>
      </c>
      <c r="H438" s="3" t="s">
        <v>657</v>
      </c>
      <c r="I438" s="41"/>
      <c r="J438" s="63" t="s">
        <v>77</v>
      </c>
      <c r="K438" s="57"/>
      <c r="L438" s="76">
        <v>0</v>
      </c>
      <c r="M438" s="81">
        <v>36</v>
      </c>
      <c r="N438" s="79">
        <f>(Tabela1[[#This Row],[SIMULADO 2 NOTA]]-Tabela1[[#This Row],[SIMULADO 1 - NOTA]])</f>
        <v>36</v>
      </c>
      <c r="O438" s="53"/>
      <c r="P438" s="53"/>
      <c r="Q438" s="53"/>
      <c r="R438" s="53"/>
      <c r="S438" s="53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34"/>
      <c r="BP438" s="22"/>
    </row>
    <row r="439" spans="1:68" s="3" customFormat="1" ht="25.5" customHeight="1">
      <c r="A439" s="22" t="s">
        <v>69</v>
      </c>
      <c r="B439" s="3">
        <v>28962681</v>
      </c>
      <c r="C439" s="3" t="s">
        <v>70</v>
      </c>
      <c r="D439" s="3" t="s">
        <v>71</v>
      </c>
      <c r="E439" s="6">
        <v>13163048412</v>
      </c>
      <c r="F439" s="3" t="s">
        <v>91</v>
      </c>
      <c r="G439" s="64">
        <v>9</v>
      </c>
      <c r="H439" s="3" t="s">
        <v>658</v>
      </c>
      <c r="I439" s="41"/>
      <c r="J439" s="63" t="s">
        <v>75</v>
      </c>
      <c r="K439" s="58" t="s">
        <v>552</v>
      </c>
      <c r="L439" s="75">
        <v>61</v>
      </c>
      <c r="M439" s="81">
        <v>53</v>
      </c>
      <c r="N439" s="84">
        <f>(Tabela1[[#This Row],[SIMULADO 2 NOTA]]-Tabela1[[#This Row],[SIMULADO 1 - NOTA]])</f>
        <v>-8</v>
      </c>
      <c r="O439" s="52"/>
      <c r="P439" s="52"/>
      <c r="Q439" s="52"/>
      <c r="R439" s="52"/>
      <c r="S439" s="52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34"/>
      <c r="BP439" s="22"/>
    </row>
    <row r="440" spans="1:68" s="3" customFormat="1" ht="25.5" customHeight="1">
      <c r="A440" s="22" t="s">
        <v>69</v>
      </c>
      <c r="B440" s="3">
        <v>10758518</v>
      </c>
      <c r="C440" s="3" t="s">
        <v>70</v>
      </c>
      <c r="D440" s="3" t="s">
        <v>71</v>
      </c>
      <c r="E440" s="6">
        <v>803500467</v>
      </c>
      <c r="F440" s="3" t="s">
        <v>82</v>
      </c>
      <c r="G440" s="64">
        <v>9</v>
      </c>
      <c r="H440" s="15" t="s">
        <v>659</v>
      </c>
      <c r="I440" s="40" t="s">
        <v>74</v>
      </c>
      <c r="J440" s="63" t="s">
        <v>75</v>
      </c>
      <c r="K440" s="58" t="s">
        <v>196</v>
      </c>
      <c r="L440" s="75">
        <v>59</v>
      </c>
      <c r="M440" s="81">
        <v>45</v>
      </c>
      <c r="N440" s="84">
        <f>(Tabela1[[#This Row],[SIMULADO 2 NOTA]]-Tabela1[[#This Row],[SIMULADO 1 - NOTA]])</f>
        <v>-14</v>
      </c>
      <c r="O440" s="54"/>
      <c r="P440" s="54"/>
      <c r="Q440" s="54"/>
      <c r="R440" s="54"/>
      <c r="S440" s="54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34"/>
      <c r="BP440" s="22"/>
    </row>
    <row r="441" spans="1:68" s="3" customFormat="1" ht="25.5" customHeight="1">
      <c r="A441" s="22" t="s">
        <v>69</v>
      </c>
      <c r="B441" s="3">
        <v>25491792</v>
      </c>
      <c r="C441" s="3" t="s">
        <v>70</v>
      </c>
      <c r="D441" s="3" t="s">
        <v>71</v>
      </c>
      <c r="E441" s="6">
        <v>6751624328</v>
      </c>
      <c r="F441" s="3" t="s">
        <v>72</v>
      </c>
      <c r="G441" s="64">
        <v>11</v>
      </c>
      <c r="H441" s="15" t="s">
        <v>660</v>
      </c>
      <c r="I441" s="40" t="s">
        <v>74</v>
      </c>
      <c r="J441" s="63" t="s">
        <v>77</v>
      </c>
      <c r="K441" s="58" t="s">
        <v>594</v>
      </c>
      <c r="L441" s="75">
        <v>50</v>
      </c>
      <c r="M441" s="82">
        <v>39</v>
      </c>
      <c r="N441" s="84">
        <f>(Tabela1[[#This Row],[SIMULADO 2 NOTA]]-Tabela1[[#This Row],[SIMULADO 1 - NOTA]])</f>
        <v>-11</v>
      </c>
      <c r="O441" s="78"/>
      <c r="P441" s="78"/>
      <c r="Q441" s="78"/>
      <c r="R441" s="78"/>
      <c r="S441" s="78"/>
      <c r="T441" s="68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34"/>
      <c r="BP441" s="22"/>
    </row>
    <row r="442" spans="1:68" s="3" customFormat="1" ht="25.5" hidden="1" customHeight="1">
      <c r="A442" s="22" t="s">
        <v>69</v>
      </c>
      <c r="B442" s="11">
        <v>25198131</v>
      </c>
      <c r="C442" s="3" t="s">
        <v>70</v>
      </c>
      <c r="D442" s="5" t="s">
        <v>109</v>
      </c>
      <c r="E442" s="6"/>
      <c r="F442" s="11" t="s">
        <v>82</v>
      </c>
      <c r="G442" s="66">
        <v>11</v>
      </c>
      <c r="H442" s="11" t="s">
        <v>661</v>
      </c>
      <c r="I442" s="46"/>
      <c r="J442" s="63" t="s">
        <v>77</v>
      </c>
      <c r="K442" s="59"/>
      <c r="L442" s="76">
        <v>0</v>
      </c>
      <c r="M442" s="81">
        <v>0</v>
      </c>
      <c r="N442" s="81">
        <f>(Tabela1[[#This Row],[SIMULADO 2 NOTA]]-Tabela1[[#This Row],[SIMULADO 1 - NOTA]])</f>
        <v>0</v>
      </c>
      <c r="O442" s="78"/>
      <c r="P442" s="78"/>
      <c r="Q442" s="78"/>
      <c r="R442" s="78"/>
      <c r="S442" s="78"/>
      <c r="T442" s="68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 t="s">
        <v>87</v>
      </c>
      <c r="BI442" s="7" t="s">
        <v>87</v>
      </c>
      <c r="BJ442" s="7"/>
      <c r="BK442" s="7"/>
      <c r="BL442" s="7" t="s">
        <v>87</v>
      </c>
      <c r="BM442" s="7" t="s">
        <v>87</v>
      </c>
      <c r="BN442" s="7"/>
      <c r="BO442" s="34"/>
      <c r="BP442" s="22"/>
    </row>
    <row r="443" spans="1:68" s="3" customFormat="1" ht="25.5" customHeight="1">
      <c r="A443" s="22" t="s">
        <v>69</v>
      </c>
      <c r="B443" s="3">
        <v>30498139</v>
      </c>
      <c r="C443" s="3" t="s">
        <v>70</v>
      </c>
      <c r="D443" s="3" t="s">
        <v>71</v>
      </c>
      <c r="E443" s="6">
        <v>70099467445</v>
      </c>
      <c r="F443" s="3" t="s">
        <v>82</v>
      </c>
      <c r="G443" s="64">
        <v>9</v>
      </c>
      <c r="H443" s="3" t="s">
        <v>662</v>
      </c>
      <c r="I443" s="41"/>
      <c r="J443" s="63" t="s">
        <v>75</v>
      </c>
      <c r="K443" s="58" t="s">
        <v>382</v>
      </c>
      <c r="L443" s="75">
        <v>71</v>
      </c>
      <c r="M443" s="81">
        <v>60</v>
      </c>
      <c r="N443" s="84">
        <f>(Tabela1[[#This Row],[SIMULADO 2 NOTA]]-Tabela1[[#This Row],[SIMULADO 1 - NOTA]])</f>
        <v>-11</v>
      </c>
      <c r="O443" s="72"/>
      <c r="P443" s="72"/>
      <c r="Q443" s="72"/>
      <c r="R443" s="72"/>
      <c r="S443" s="72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34"/>
      <c r="BP443" s="22"/>
    </row>
    <row r="444" spans="1:68" s="3" customFormat="1" ht="25.5" customHeight="1">
      <c r="A444" s="22" t="s">
        <v>69</v>
      </c>
      <c r="B444" s="3">
        <v>34528679</v>
      </c>
      <c r="C444" s="3" t="s">
        <v>70</v>
      </c>
      <c r="D444" s="3" t="s">
        <v>71</v>
      </c>
      <c r="E444" s="6">
        <v>71027253458</v>
      </c>
      <c r="F444" s="3" t="s">
        <v>72</v>
      </c>
      <c r="G444" s="64">
        <v>7</v>
      </c>
      <c r="H444" s="3" t="s">
        <v>663</v>
      </c>
      <c r="I444" s="41"/>
      <c r="J444" s="63" t="s">
        <v>77</v>
      </c>
      <c r="K444" s="57"/>
      <c r="L444" s="76">
        <v>0</v>
      </c>
      <c r="M444" s="81">
        <v>54</v>
      </c>
      <c r="N444" s="79">
        <f>(Tabela1[[#This Row],[SIMULADO 2 NOTA]]-Tabela1[[#This Row],[SIMULADO 1 - NOTA]])</f>
        <v>54</v>
      </c>
      <c r="O444" s="69"/>
      <c r="P444" s="69"/>
      <c r="Q444" s="69"/>
      <c r="R444" s="69"/>
      <c r="S444" s="69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34"/>
      <c r="BP444" s="22"/>
    </row>
    <row r="445" spans="1:68" s="3" customFormat="1" ht="25.5" customHeight="1">
      <c r="A445" s="22" t="s">
        <v>69</v>
      </c>
      <c r="B445" s="3">
        <v>25489674</v>
      </c>
      <c r="C445" s="3" t="s">
        <v>70</v>
      </c>
      <c r="D445" s="3" t="s">
        <v>71</v>
      </c>
      <c r="E445" s="6">
        <v>1163549410</v>
      </c>
      <c r="F445" s="3" t="s">
        <v>72</v>
      </c>
      <c r="G445" s="64">
        <v>11</v>
      </c>
      <c r="H445" s="15" t="s">
        <v>664</v>
      </c>
      <c r="I445" s="40" t="s">
        <v>74</v>
      </c>
      <c r="J445" s="63" t="s">
        <v>77</v>
      </c>
      <c r="K445" s="58" t="s">
        <v>355</v>
      </c>
      <c r="L445" s="75">
        <v>52</v>
      </c>
      <c r="M445" s="82">
        <v>42</v>
      </c>
      <c r="N445" s="84">
        <f>(Tabela1[[#This Row],[SIMULADO 2 NOTA]]-Tabela1[[#This Row],[SIMULADO 1 - NOTA]])</f>
        <v>-10</v>
      </c>
      <c r="O445" s="78"/>
      <c r="P445" s="78"/>
      <c r="Q445" s="78"/>
      <c r="R445" s="78"/>
      <c r="S445" s="78"/>
      <c r="T445" s="68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34"/>
      <c r="BP445" s="22"/>
    </row>
    <row r="446" spans="1:68" s="3" customFormat="1" ht="25.5" customHeight="1">
      <c r="A446" s="22" t="s">
        <v>69</v>
      </c>
      <c r="B446" s="3">
        <v>10627201</v>
      </c>
      <c r="C446" s="3" t="s">
        <v>70</v>
      </c>
      <c r="D446" s="3" t="s">
        <v>71</v>
      </c>
      <c r="E446" s="6">
        <v>6946965442</v>
      </c>
      <c r="F446" s="3" t="s">
        <v>82</v>
      </c>
      <c r="G446" s="64">
        <v>11</v>
      </c>
      <c r="H446" s="15" t="s">
        <v>665</v>
      </c>
      <c r="I446" s="40" t="s">
        <v>74</v>
      </c>
      <c r="J446" s="63" t="s">
        <v>77</v>
      </c>
      <c r="K446" s="58" t="s">
        <v>170</v>
      </c>
      <c r="L446" s="75">
        <v>55</v>
      </c>
      <c r="M446" s="82">
        <v>41</v>
      </c>
      <c r="N446" s="84">
        <f>(Tabela1[[#This Row],[SIMULADO 2 NOTA]]-Tabela1[[#This Row],[SIMULADO 1 - NOTA]])</f>
        <v>-14</v>
      </c>
      <c r="O446" s="78"/>
      <c r="P446" s="78"/>
      <c r="Q446" s="78"/>
      <c r="R446" s="78"/>
      <c r="S446" s="78"/>
      <c r="T446" s="68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34"/>
      <c r="BP446" s="22"/>
    </row>
    <row r="447" spans="1:68" s="3" customFormat="1" ht="25.5" customHeight="1">
      <c r="A447" s="22" t="s">
        <v>69</v>
      </c>
      <c r="B447" s="3">
        <v>31358209</v>
      </c>
      <c r="C447" s="3" t="s">
        <v>70</v>
      </c>
      <c r="D447" s="3" t="s">
        <v>71</v>
      </c>
      <c r="E447" s="6">
        <v>5389940458</v>
      </c>
      <c r="F447" s="3" t="s">
        <v>72</v>
      </c>
      <c r="G447" s="64">
        <v>11</v>
      </c>
      <c r="H447" s="15" t="s">
        <v>666</v>
      </c>
      <c r="I447" s="40" t="s">
        <v>74</v>
      </c>
      <c r="J447" s="63" t="s">
        <v>77</v>
      </c>
      <c r="K447" s="58" t="s">
        <v>667</v>
      </c>
      <c r="L447" s="75">
        <v>54</v>
      </c>
      <c r="M447" s="82">
        <v>46</v>
      </c>
      <c r="N447" s="84">
        <f>(Tabela1[[#This Row],[SIMULADO 2 NOTA]]-Tabela1[[#This Row],[SIMULADO 1 - NOTA]])</f>
        <v>-8</v>
      </c>
      <c r="O447" s="78"/>
      <c r="P447" s="78"/>
      <c r="Q447" s="78"/>
      <c r="R447" s="78"/>
      <c r="S447" s="78"/>
      <c r="T447" s="68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34"/>
      <c r="BP447" s="22"/>
    </row>
    <row r="448" spans="1:68" s="3" customFormat="1" ht="25.5" customHeight="1">
      <c r="A448" s="22" t="s">
        <v>69</v>
      </c>
      <c r="B448" s="3">
        <v>29971608</v>
      </c>
      <c r="C448" s="3" t="s">
        <v>70</v>
      </c>
      <c r="D448" s="3" t="s">
        <v>71</v>
      </c>
      <c r="E448" s="6">
        <v>9031631442</v>
      </c>
      <c r="F448" s="3" t="s">
        <v>91</v>
      </c>
      <c r="G448" s="64">
        <v>9</v>
      </c>
      <c r="H448" s="3" t="s">
        <v>668</v>
      </c>
      <c r="I448" s="41"/>
      <c r="J448" s="63" t="s">
        <v>75</v>
      </c>
      <c r="K448" s="58" t="s">
        <v>266</v>
      </c>
      <c r="L448" s="75">
        <v>68</v>
      </c>
      <c r="M448" s="81">
        <v>58</v>
      </c>
      <c r="N448" s="84">
        <f>(Tabela1[[#This Row],[SIMULADO 2 NOTA]]-Tabela1[[#This Row],[SIMULADO 1 - NOTA]])</f>
        <v>-10</v>
      </c>
      <c r="O448" s="72"/>
      <c r="P448" s="72"/>
      <c r="Q448" s="72"/>
      <c r="R448" s="72"/>
      <c r="S448" s="72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34"/>
      <c r="BP448" s="22"/>
    </row>
    <row r="449" spans="1:68" s="3" customFormat="1" ht="25.5" customHeight="1">
      <c r="A449" s="22" t="s">
        <v>69</v>
      </c>
      <c r="B449" s="3">
        <v>28944071</v>
      </c>
      <c r="C449" s="3" t="s">
        <v>70</v>
      </c>
      <c r="D449" s="3" t="s">
        <v>71</v>
      </c>
      <c r="E449" s="6">
        <v>8087552423</v>
      </c>
      <c r="F449" s="3" t="s">
        <v>82</v>
      </c>
      <c r="G449" s="64">
        <v>9</v>
      </c>
      <c r="H449" s="3" t="s">
        <v>669</v>
      </c>
      <c r="I449" s="41"/>
      <c r="J449" s="63" t="s">
        <v>75</v>
      </c>
      <c r="K449" s="58" t="s">
        <v>137</v>
      </c>
      <c r="L449" s="75">
        <v>64</v>
      </c>
      <c r="M449" s="81">
        <v>47</v>
      </c>
      <c r="N449" s="84">
        <f>(Tabela1[[#This Row],[SIMULADO 2 NOTA]]-Tabela1[[#This Row],[SIMULADO 1 - NOTA]])</f>
        <v>-17</v>
      </c>
      <c r="O449" s="54"/>
      <c r="P449" s="54"/>
      <c r="Q449" s="54"/>
      <c r="R449" s="54"/>
      <c r="S449" s="54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34"/>
      <c r="BP449" s="22"/>
    </row>
    <row r="450" spans="1:68" s="3" customFormat="1" ht="25.5" customHeight="1">
      <c r="A450" s="22" t="s">
        <v>69</v>
      </c>
      <c r="B450" s="3">
        <v>26397897</v>
      </c>
      <c r="C450" s="3" t="s">
        <v>70</v>
      </c>
      <c r="D450" s="3" t="s">
        <v>71</v>
      </c>
      <c r="E450" s="6">
        <v>8631667412</v>
      </c>
      <c r="F450" s="3" t="s">
        <v>72</v>
      </c>
      <c r="G450" s="64">
        <v>11</v>
      </c>
      <c r="H450" s="3" t="s">
        <v>670</v>
      </c>
      <c r="I450" s="41"/>
      <c r="J450" s="63" t="s">
        <v>77</v>
      </c>
      <c r="K450" s="58" t="s">
        <v>324</v>
      </c>
      <c r="L450" s="75">
        <v>61</v>
      </c>
      <c r="M450" s="82">
        <v>62</v>
      </c>
      <c r="N450" s="92">
        <f>(Tabela1[[#This Row],[SIMULADO 2 NOTA]]-Tabela1[[#This Row],[SIMULADO 1 - NOTA]])</f>
        <v>1</v>
      </c>
      <c r="O450" s="78"/>
      <c r="P450" s="78"/>
      <c r="Q450" s="78"/>
      <c r="R450" s="78"/>
      <c r="S450" s="78"/>
      <c r="T450" s="68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34"/>
      <c r="BP450" s="22"/>
    </row>
    <row r="451" spans="1:68" s="3" customFormat="1" ht="25.5" customHeight="1">
      <c r="A451" s="22" t="s">
        <v>69</v>
      </c>
      <c r="B451" s="5">
        <v>32736312</v>
      </c>
      <c r="C451" s="3" t="s">
        <v>70</v>
      </c>
      <c r="D451" s="3" t="s">
        <v>71</v>
      </c>
      <c r="E451" s="6">
        <v>7639447429</v>
      </c>
      <c r="F451" s="3" t="s">
        <v>78</v>
      </c>
      <c r="G451" s="64">
        <v>7</v>
      </c>
      <c r="H451" s="3" t="s">
        <v>671</v>
      </c>
      <c r="I451" s="41"/>
      <c r="J451" s="63" t="s">
        <v>77</v>
      </c>
      <c r="K451" s="57"/>
      <c r="L451" s="76">
        <v>0</v>
      </c>
      <c r="M451" s="81">
        <v>38</v>
      </c>
      <c r="N451" s="79">
        <f>(Tabela1[[#This Row],[SIMULADO 2 NOTA]]-Tabela1[[#This Row],[SIMULADO 1 - NOTA]])</f>
        <v>38</v>
      </c>
      <c r="O451" s="70"/>
      <c r="P451" s="70"/>
      <c r="Q451" s="70"/>
      <c r="R451" s="70"/>
      <c r="S451" s="70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34"/>
      <c r="BP451" s="22"/>
    </row>
    <row r="452" spans="1:68" s="3" customFormat="1" ht="25.5" customHeight="1">
      <c r="A452" s="22" t="s">
        <v>69</v>
      </c>
      <c r="B452" s="3">
        <v>28948963</v>
      </c>
      <c r="C452" s="3" t="s">
        <v>70</v>
      </c>
      <c r="D452" s="3" t="s">
        <v>71</v>
      </c>
      <c r="E452" s="6">
        <v>11053131402</v>
      </c>
      <c r="F452" s="3" t="s">
        <v>78</v>
      </c>
      <c r="G452" s="64">
        <v>9</v>
      </c>
      <c r="H452" s="15" t="s">
        <v>672</v>
      </c>
      <c r="I452" s="40" t="s">
        <v>74</v>
      </c>
      <c r="J452" s="63" t="s">
        <v>75</v>
      </c>
      <c r="K452" s="58" t="s">
        <v>673</v>
      </c>
      <c r="L452" s="75">
        <v>59</v>
      </c>
      <c r="M452" s="81">
        <v>43</v>
      </c>
      <c r="N452" s="84">
        <f>(Tabela1[[#This Row],[SIMULADO 2 NOTA]]-Tabela1[[#This Row],[SIMULADO 1 - NOTA]])</f>
        <v>-16</v>
      </c>
      <c r="O452" s="54"/>
      <c r="P452" s="54"/>
      <c r="Q452" s="54"/>
      <c r="R452" s="54"/>
      <c r="S452" s="54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34"/>
      <c r="BP452" s="22"/>
    </row>
    <row r="453" spans="1:68" s="3" customFormat="1" ht="25.5" customHeight="1">
      <c r="A453" s="22" t="s">
        <v>69</v>
      </c>
      <c r="B453" s="3">
        <v>25490141</v>
      </c>
      <c r="C453" s="3" t="s">
        <v>70</v>
      </c>
      <c r="D453" s="3" t="s">
        <v>71</v>
      </c>
      <c r="E453" s="6">
        <v>7120839446</v>
      </c>
      <c r="F453" s="3" t="s">
        <v>72</v>
      </c>
      <c r="G453" s="64">
        <v>11</v>
      </c>
      <c r="H453" s="3" t="s">
        <v>674</v>
      </c>
      <c r="I453" s="41"/>
      <c r="J453" s="63" t="s">
        <v>77</v>
      </c>
      <c r="K453" s="58" t="s">
        <v>675</v>
      </c>
      <c r="L453" s="75">
        <v>73</v>
      </c>
      <c r="M453" s="82">
        <v>61</v>
      </c>
      <c r="N453" s="84">
        <f>(Tabela1[[#This Row],[SIMULADO 2 NOTA]]-Tabela1[[#This Row],[SIMULADO 1 - NOTA]])</f>
        <v>-12</v>
      </c>
      <c r="O453" s="78"/>
      <c r="P453" s="78"/>
      <c r="Q453" s="78"/>
      <c r="R453" s="78"/>
      <c r="S453" s="78"/>
      <c r="T453" s="68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34"/>
      <c r="BP453" s="22"/>
    </row>
    <row r="454" spans="1:68" s="3" customFormat="1" ht="25.5" customHeight="1">
      <c r="A454" s="22" t="s">
        <v>69</v>
      </c>
      <c r="B454" s="3">
        <v>25067117</v>
      </c>
      <c r="C454" s="3" t="s">
        <v>70</v>
      </c>
      <c r="D454" s="3" t="s">
        <v>71</v>
      </c>
      <c r="E454" s="6">
        <v>10350580499</v>
      </c>
      <c r="F454" s="3" t="s">
        <v>82</v>
      </c>
      <c r="G454" s="64">
        <v>11</v>
      </c>
      <c r="H454" s="15" t="s">
        <v>676</v>
      </c>
      <c r="I454" s="40" t="s">
        <v>74</v>
      </c>
      <c r="J454" s="63" t="s">
        <v>77</v>
      </c>
      <c r="K454" s="58" t="s">
        <v>172</v>
      </c>
      <c r="L454" s="75">
        <v>56</v>
      </c>
      <c r="M454" s="82">
        <v>40</v>
      </c>
      <c r="N454" s="84">
        <f>(Tabela1[[#This Row],[SIMULADO 2 NOTA]]-Tabela1[[#This Row],[SIMULADO 1 - NOTA]])</f>
        <v>-16</v>
      </c>
      <c r="O454" s="78"/>
      <c r="P454" s="78"/>
      <c r="Q454" s="78"/>
      <c r="R454" s="78"/>
      <c r="S454" s="78"/>
      <c r="T454" s="68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34"/>
      <c r="BP454" s="22"/>
    </row>
    <row r="455" spans="1:68" s="3" customFormat="1" ht="25.5" customHeight="1">
      <c r="A455" s="22" t="s">
        <v>69</v>
      </c>
      <c r="B455" s="3">
        <v>28941489</v>
      </c>
      <c r="C455" s="3" t="s">
        <v>70</v>
      </c>
      <c r="D455" s="3" t="s">
        <v>71</v>
      </c>
      <c r="E455" s="6">
        <v>7269540470</v>
      </c>
      <c r="F455" s="3" t="s">
        <v>72</v>
      </c>
      <c r="G455" s="64">
        <v>9</v>
      </c>
      <c r="H455" s="15" t="s">
        <v>677</v>
      </c>
      <c r="I455" s="40" t="s">
        <v>74</v>
      </c>
      <c r="J455" s="63" t="s">
        <v>75</v>
      </c>
      <c r="K455" s="58" t="s">
        <v>237</v>
      </c>
      <c r="L455" s="75">
        <v>57</v>
      </c>
      <c r="M455" s="81">
        <v>51</v>
      </c>
      <c r="N455" s="84">
        <f>(Tabela1[[#This Row],[SIMULADO 2 NOTA]]-Tabela1[[#This Row],[SIMULADO 1 - NOTA]])</f>
        <v>-6</v>
      </c>
      <c r="O455" s="72"/>
      <c r="P455" s="72"/>
      <c r="Q455" s="72"/>
      <c r="R455" s="72"/>
      <c r="S455" s="72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34"/>
      <c r="BP455" s="22"/>
    </row>
    <row r="456" spans="1:68" s="3" customFormat="1" ht="25.5" customHeight="1">
      <c r="A456" s="22" t="s">
        <v>69</v>
      </c>
      <c r="B456" s="3">
        <v>34065504</v>
      </c>
      <c r="C456" s="3" t="s">
        <v>70</v>
      </c>
      <c r="D456" s="3" t="s">
        <v>71</v>
      </c>
      <c r="E456" s="6">
        <v>9039810419</v>
      </c>
      <c r="F456" s="3" t="s">
        <v>72</v>
      </c>
      <c r="G456" s="64">
        <v>7</v>
      </c>
      <c r="H456" s="3" t="s">
        <v>678</v>
      </c>
      <c r="I456" s="41"/>
      <c r="J456" s="63" t="s">
        <v>77</v>
      </c>
      <c r="K456" s="57"/>
      <c r="L456" s="76">
        <v>0</v>
      </c>
      <c r="M456" s="81">
        <v>30</v>
      </c>
      <c r="N456" s="79">
        <f>(Tabela1[[#This Row],[SIMULADO 2 NOTA]]-Tabela1[[#This Row],[SIMULADO 1 - NOTA]])</f>
        <v>30</v>
      </c>
      <c r="O456" s="53"/>
      <c r="P456" s="53"/>
      <c r="Q456" s="53"/>
      <c r="R456" s="53"/>
      <c r="S456" s="53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34"/>
      <c r="BP456" s="22"/>
    </row>
    <row r="457" spans="1:68" s="3" customFormat="1" ht="25.5" hidden="1" customHeight="1">
      <c r="A457" s="22" t="s">
        <v>69</v>
      </c>
      <c r="B457" s="5">
        <v>38284910</v>
      </c>
      <c r="C457" s="3" t="s">
        <v>70</v>
      </c>
      <c r="D457" s="3" t="s">
        <v>71</v>
      </c>
      <c r="E457" s="6">
        <v>7370906426</v>
      </c>
      <c r="F457" s="3" t="s">
        <v>78</v>
      </c>
      <c r="G457" s="64">
        <v>7</v>
      </c>
      <c r="H457" s="8" t="s">
        <v>679</v>
      </c>
      <c r="I457" s="42" t="s">
        <v>80</v>
      </c>
      <c r="J457" s="63" t="s">
        <v>77</v>
      </c>
      <c r="K457" s="58" t="s">
        <v>680</v>
      </c>
      <c r="L457" s="76">
        <v>0</v>
      </c>
      <c r="M457" s="81">
        <v>0</v>
      </c>
      <c r="N457" s="81">
        <f>(Tabela1[[#This Row],[SIMULADO 2 NOTA]]-Tabela1[[#This Row],[SIMULADO 1 - NOTA]])</f>
        <v>0</v>
      </c>
      <c r="O457" s="53"/>
      <c r="P457" s="53"/>
      <c r="Q457" s="53"/>
      <c r="R457" s="53"/>
      <c r="S457" s="53"/>
      <c r="T457" s="7"/>
      <c r="U457" s="7"/>
      <c r="V457" s="7"/>
      <c r="W457" s="7"/>
      <c r="X457" s="7"/>
      <c r="Y457" s="7"/>
      <c r="Z457" s="7" t="s">
        <v>87</v>
      </c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34"/>
      <c r="BP457" s="22"/>
    </row>
    <row r="458" spans="1:68" s="3" customFormat="1" ht="25.5" customHeight="1">
      <c r="A458" s="22" t="s">
        <v>69</v>
      </c>
      <c r="B458" s="3">
        <v>30530245</v>
      </c>
      <c r="C458" s="3" t="s">
        <v>70</v>
      </c>
      <c r="D458" s="3" t="s">
        <v>71</v>
      </c>
      <c r="E458" s="6">
        <v>12168631484</v>
      </c>
      <c r="F458" s="3" t="s">
        <v>91</v>
      </c>
      <c r="G458" s="64">
        <v>9</v>
      </c>
      <c r="H458" s="3" t="s">
        <v>681</v>
      </c>
      <c r="I458" s="41"/>
      <c r="J458" s="63" t="s">
        <v>75</v>
      </c>
      <c r="K458" s="58" t="s">
        <v>565</v>
      </c>
      <c r="L458" s="75">
        <v>75</v>
      </c>
      <c r="M458" s="81">
        <v>59</v>
      </c>
      <c r="N458" s="84">
        <f>(Tabela1[[#This Row],[SIMULADO 2 NOTA]]-Tabela1[[#This Row],[SIMULADO 1 - NOTA]])</f>
        <v>-16</v>
      </c>
      <c r="O458" s="52"/>
      <c r="P458" s="52"/>
      <c r="Q458" s="52"/>
      <c r="R458" s="52"/>
      <c r="S458" s="52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34"/>
      <c r="BP458" s="22"/>
    </row>
    <row r="459" spans="1:68" s="3" customFormat="1" ht="25.5" hidden="1" customHeight="1">
      <c r="A459" s="22" t="s">
        <v>69</v>
      </c>
      <c r="B459" s="3">
        <v>34154761</v>
      </c>
      <c r="C459" s="3" t="s">
        <v>70</v>
      </c>
      <c r="D459" s="3" t="s">
        <v>71</v>
      </c>
      <c r="E459" s="6">
        <v>70208622411</v>
      </c>
      <c r="F459" s="3" t="s">
        <v>72</v>
      </c>
      <c r="G459" s="64">
        <v>7</v>
      </c>
      <c r="H459" s="3" t="s">
        <v>682</v>
      </c>
      <c r="I459" s="41"/>
      <c r="J459" s="63" t="s">
        <v>77</v>
      </c>
      <c r="K459" s="57"/>
      <c r="L459" s="76">
        <v>0</v>
      </c>
      <c r="M459" s="81">
        <v>0</v>
      </c>
      <c r="N459" s="81">
        <f>(Tabela1[[#This Row],[SIMULADO 2 NOTA]]-Tabela1[[#This Row],[SIMULADO 1 - NOTA]])</f>
        <v>0</v>
      </c>
      <c r="O459" s="69"/>
      <c r="P459" s="69"/>
      <c r="Q459" s="69"/>
      <c r="R459" s="69"/>
      <c r="S459" s="69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34"/>
      <c r="BP459" s="22"/>
    </row>
    <row r="460" spans="1:68" s="3" customFormat="1" ht="25.5" customHeight="1">
      <c r="A460" s="22" t="s">
        <v>69</v>
      </c>
      <c r="B460" s="3">
        <v>30082625</v>
      </c>
      <c r="C460" s="3" t="s">
        <v>70</v>
      </c>
      <c r="D460" s="3" t="s">
        <v>71</v>
      </c>
      <c r="E460" s="6">
        <v>6834756493</v>
      </c>
      <c r="F460" s="3" t="s">
        <v>72</v>
      </c>
      <c r="G460" s="64">
        <v>11</v>
      </c>
      <c r="H460" s="3" t="s">
        <v>683</v>
      </c>
      <c r="I460" s="41"/>
      <c r="J460" s="63" t="s">
        <v>77</v>
      </c>
      <c r="K460" s="58" t="s">
        <v>684</v>
      </c>
      <c r="L460" s="75">
        <v>70</v>
      </c>
      <c r="M460" s="82">
        <v>57</v>
      </c>
      <c r="N460" s="84">
        <f>(Tabela1[[#This Row],[SIMULADO 2 NOTA]]-Tabela1[[#This Row],[SIMULADO 1 - NOTA]])</f>
        <v>-13</v>
      </c>
      <c r="O460" s="78"/>
      <c r="P460" s="78"/>
      <c r="Q460" s="78"/>
      <c r="R460" s="78"/>
      <c r="S460" s="78"/>
      <c r="T460" s="68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34"/>
      <c r="BP460" s="22"/>
    </row>
    <row r="461" spans="1:68" s="3" customFormat="1" ht="25.5" hidden="1" customHeight="1">
      <c r="A461" s="22" t="s">
        <v>69</v>
      </c>
      <c r="B461" s="5">
        <v>32708947</v>
      </c>
      <c r="C461" s="3" t="s">
        <v>70</v>
      </c>
      <c r="D461" s="3" t="s">
        <v>71</v>
      </c>
      <c r="E461" s="6">
        <v>5474276460</v>
      </c>
      <c r="F461" s="3" t="s">
        <v>78</v>
      </c>
      <c r="G461" s="64">
        <v>7</v>
      </c>
      <c r="H461" s="3" t="s">
        <v>685</v>
      </c>
      <c r="I461" s="41"/>
      <c r="J461" s="63" t="s">
        <v>77</v>
      </c>
      <c r="K461" s="57"/>
      <c r="L461" s="76">
        <v>0</v>
      </c>
      <c r="M461" s="81">
        <v>0</v>
      </c>
      <c r="N461" s="81">
        <f>(Tabela1[[#This Row],[SIMULADO 2 NOTA]]-Tabela1[[#This Row],[SIMULADO 1 - NOTA]])</f>
        <v>0</v>
      </c>
      <c r="O461" s="70"/>
      <c r="P461" s="70"/>
      <c r="Q461" s="70"/>
      <c r="R461" s="70"/>
      <c r="S461" s="70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34"/>
      <c r="BP461" s="22"/>
    </row>
    <row r="462" spans="1:68" s="3" customFormat="1" ht="25.5" customHeight="1">
      <c r="A462" s="22" t="s">
        <v>69</v>
      </c>
      <c r="B462" s="3">
        <v>30466041</v>
      </c>
      <c r="C462" s="3" t="s">
        <v>70</v>
      </c>
      <c r="D462" s="3" t="s">
        <v>71</v>
      </c>
      <c r="E462" s="6">
        <v>71205199489</v>
      </c>
      <c r="F462" s="3" t="s">
        <v>82</v>
      </c>
      <c r="G462" s="64">
        <v>9</v>
      </c>
      <c r="H462" s="3" t="s">
        <v>686</v>
      </c>
      <c r="I462" s="41"/>
      <c r="J462" s="63" t="s">
        <v>75</v>
      </c>
      <c r="K462" s="58" t="s">
        <v>687</v>
      </c>
      <c r="L462" s="75">
        <v>73</v>
      </c>
      <c r="M462" s="81">
        <v>54</v>
      </c>
      <c r="N462" s="84">
        <f>(Tabela1[[#This Row],[SIMULADO 2 NOTA]]-Tabela1[[#This Row],[SIMULADO 1 - NOTA]])</f>
        <v>-19</v>
      </c>
      <c r="O462" s="52"/>
      <c r="P462" s="52"/>
      <c r="Q462" s="52"/>
      <c r="R462" s="52"/>
      <c r="S462" s="52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34"/>
      <c r="BP462" s="22"/>
    </row>
    <row r="463" spans="1:68" s="3" customFormat="1" ht="25.5" customHeight="1">
      <c r="A463" s="22" t="s">
        <v>69</v>
      </c>
      <c r="B463" s="3">
        <v>30605474</v>
      </c>
      <c r="C463" s="3" t="s">
        <v>70</v>
      </c>
      <c r="D463" s="3" t="s">
        <v>71</v>
      </c>
      <c r="E463" s="6">
        <v>70102616442</v>
      </c>
      <c r="F463" s="3" t="s">
        <v>82</v>
      </c>
      <c r="G463" s="64">
        <v>9</v>
      </c>
      <c r="H463" s="3" t="s">
        <v>688</v>
      </c>
      <c r="I463" s="41"/>
      <c r="J463" s="63" t="s">
        <v>75</v>
      </c>
      <c r="K463" s="58" t="s">
        <v>240</v>
      </c>
      <c r="L463" s="75">
        <v>62</v>
      </c>
      <c r="M463" s="81">
        <v>50</v>
      </c>
      <c r="N463" s="84">
        <f>(Tabela1[[#This Row],[SIMULADO 2 NOTA]]-Tabela1[[#This Row],[SIMULADO 1 - NOTA]])</f>
        <v>-12</v>
      </c>
      <c r="O463" s="52"/>
      <c r="P463" s="52"/>
      <c r="Q463" s="52"/>
      <c r="R463" s="52"/>
      <c r="S463" s="52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34"/>
      <c r="BP463" s="22"/>
    </row>
    <row r="464" spans="1:68" s="3" customFormat="1" ht="25.5" customHeight="1">
      <c r="A464" s="23" t="s">
        <v>69</v>
      </c>
      <c r="B464" s="5">
        <v>33246114</v>
      </c>
      <c r="C464" s="5" t="s">
        <v>70</v>
      </c>
      <c r="D464" s="5" t="s">
        <v>71</v>
      </c>
      <c r="E464" s="16">
        <v>2329755074</v>
      </c>
      <c r="F464" s="5" t="s">
        <v>91</v>
      </c>
      <c r="G464" s="63">
        <v>7</v>
      </c>
      <c r="H464" s="5" t="s">
        <v>689</v>
      </c>
      <c r="I464" s="44"/>
      <c r="J464" s="63" t="s">
        <v>77</v>
      </c>
      <c r="K464" s="57"/>
      <c r="L464" s="76">
        <v>0</v>
      </c>
      <c r="M464" s="81">
        <v>27</v>
      </c>
      <c r="N464" s="79">
        <f>(Tabela1[[#This Row],[SIMULADO 2 NOTA]]-Tabela1[[#This Row],[SIMULADO 1 - NOTA]])</f>
        <v>27</v>
      </c>
      <c r="O464" s="69"/>
      <c r="P464" s="69"/>
      <c r="Q464" s="69"/>
      <c r="R464" s="69"/>
      <c r="S464" s="69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35"/>
      <c r="BP464" s="22"/>
    </row>
    <row r="465" spans="1:68" s="3" customFormat="1" ht="25.5" customHeight="1">
      <c r="A465" s="22" t="s">
        <v>69</v>
      </c>
      <c r="B465" s="3">
        <v>31283926</v>
      </c>
      <c r="C465" s="3" t="s">
        <v>70</v>
      </c>
      <c r="D465" s="3" t="s">
        <v>71</v>
      </c>
      <c r="E465" s="6">
        <v>11082708402</v>
      </c>
      <c r="F465" s="3" t="s">
        <v>72</v>
      </c>
      <c r="G465" s="64">
        <v>11</v>
      </c>
      <c r="H465" s="18" t="s">
        <v>690</v>
      </c>
      <c r="I465" s="43" t="s">
        <v>84</v>
      </c>
      <c r="J465" s="63" t="s">
        <v>77</v>
      </c>
      <c r="K465" s="58" t="s">
        <v>691</v>
      </c>
      <c r="L465" s="75">
        <v>42</v>
      </c>
      <c r="M465" s="82">
        <v>41</v>
      </c>
      <c r="N465" s="84">
        <f>(Tabela1[[#This Row],[SIMULADO 2 NOTA]]-Tabela1[[#This Row],[SIMULADO 1 - NOTA]])</f>
        <v>-1</v>
      </c>
      <c r="O465" s="78"/>
      <c r="P465" s="78"/>
      <c r="Q465" s="78"/>
      <c r="R465" s="78"/>
      <c r="S465" s="78"/>
      <c r="T465" s="68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34"/>
      <c r="BP465" s="22"/>
    </row>
    <row r="466" spans="1:68" s="3" customFormat="1" ht="25.5" customHeight="1">
      <c r="A466" s="22" t="s">
        <v>69</v>
      </c>
      <c r="B466" s="3">
        <v>25577191</v>
      </c>
      <c r="C466" s="3" t="s">
        <v>70</v>
      </c>
      <c r="D466" s="3" t="s">
        <v>71</v>
      </c>
      <c r="E466" s="6">
        <v>8635130421</v>
      </c>
      <c r="F466" s="3" t="s">
        <v>72</v>
      </c>
      <c r="G466" s="64">
        <v>11</v>
      </c>
      <c r="H466" s="15" t="s">
        <v>692</v>
      </c>
      <c r="I466" s="40" t="s">
        <v>74</v>
      </c>
      <c r="J466" s="63" t="s">
        <v>77</v>
      </c>
      <c r="K466" s="58" t="s">
        <v>331</v>
      </c>
      <c r="L466" s="75">
        <v>55</v>
      </c>
      <c r="M466" s="82">
        <v>41</v>
      </c>
      <c r="N466" s="84">
        <f>(Tabela1[[#This Row],[SIMULADO 2 NOTA]]-Tabela1[[#This Row],[SIMULADO 1 - NOTA]])</f>
        <v>-14</v>
      </c>
      <c r="O466" s="78"/>
      <c r="P466" s="78"/>
      <c r="Q466" s="78"/>
      <c r="R466" s="78"/>
      <c r="S466" s="78"/>
      <c r="T466" s="68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34"/>
      <c r="BP466" s="22"/>
    </row>
    <row r="467" spans="1:68" s="3" customFormat="1" ht="25.5" customHeight="1">
      <c r="A467" s="22" t="s">
        <v>69</v>
      </c>
      <c r="B467" s="3">
        <v>28922794</v>
      </c>
      <c r="C467" s="3" t="s">
        <v>70</v>
      </c>
      <c r="D467" s="3" t="s">
        <v>71</v>
      </c>
      <c r="E467" s="6">
        <v>6404635410</v>
      </c>
      <c r="F467" s="3" t="s">
        <v>72</v>
      </c>
      <c r="G467" s="64">
        <v>9</v>
      </c>
      <c r="H467" s="3" t="s">
        <v>693</v>
      </c>
      <c r="I467" s="41"/>
      <c r="J467" s="63" t="s">
        <v>75</v>
      </c>
      <c r="K467" s="58" t="s">
        <v>694</v>
      </c>
      <c r="L467" s="75">
        <v>62</v>
      </c>
      <c r="M467" s="81">
        <v>56</v>
      </c>
      <c r="N467" s="84">
        <f>(Tabela1[[#This Row],[SIMULADO 2 NOTA]]-Tabela1[[#This Row],[SIMULADO 1 - NOTA]])</f>
        <v>-6</v>
      </c>
      <c r="O467" s="72"/>
      <c r="P467" s="72"/>
      <c r="Q467" s="72"/>
      <c r="R467" s="72"/>
      <c r="S467" s="72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34"/>
      <c r="BP467" s="22"/>
    </row>
    <row r="468" spans="1:68" s="3" customFormat="1" ht="25.5" hidden="1" customHeight="1">
      <c r="A468" s="22" t="s">
        <v>69</v>
      </c>
      <c r="B468" s="11">
        <v>35515384</v>
      </c>
      <c r="C468" s="3" t="s">
        <v>70</v>
      </c>
      <c r="D468" s="5" t="s">
        <v>109</v>
      </c>
      <c r="E468" s="6"/>
      <c r="F468" s="11" t="s">
        <v>91</v>
      </c>
      <c r="G468" s="66">
        <v>9</v>
      </c>
      <c r="H468" s="11" t="s">
        <v>695</v>
      </c>
      <c r="I468" s="46"/>
      <c r="J468" s="63" t="s">
        <v>75</v>
      </c>
      <c r="K468" s="59"/>
      <c r="L468" s="76">
        <v>0</v>
      </c>
      <c r="M468" s="81">
        <v>0</v>
      </c>
      <c r="N468" s="81">
        <f>(Tabela1[[#This Row],[SIMULADO 2 NOTA]]-Tabela1[[#This Row],[SIMULADO 1 - NOTA]])</f>
        <v>0</v>
      </c>
      <c r="O468" s="53"/>
      <c r="P468" s="53"/>
      <c r="Q468" s="53"/>
      <c r="R468" s="53"/>
      <c r="S468" s="53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34"/>
      <c r="BP468" s="22"/>
    </row>
    <row r="469" spans="1:68" s="3" customFormat="1" ht="25.5" customHeight="1">
      <c r="A469" s="22" t="s">
        <v>69</v>
      </c>
      <c r="B469" s="5">
        <v>33475105</v>
      </c>
      <c r="C469" s="3" t="s">
        <v>70</v>
      </c>
      <c r="D469" s="3" t="s">
        <v>71</v>
      </c>
      <c r="E469" s="6">
        <v>9435145418</v>
      </c>
      <c r="F469" s="3" t="s">
        <v>78</v>
      </c>
      <c r="G469" s="64">
        <v>7</v>
      </c>
      <c r="H469" s="3" t="s">
        <v>696</v>
      </c>
      <c r="I469" s="41"/>
      <c r="J469" s="63" t="s">
        <v>77</v>
      </c>
      <c r="K469" s="57"/>
      <c r="L469" s="76">
        <v>0</v>
      </c>
      <c r="M469" s="81">
        <v>30</v>
      </c>
      <c r="N469" s="79">
        <f>(Tabela1[[#This Row],[SIMULADO 2 NOTA]]-Tabela1[[#This Row],[SIMULADO 1 - NOTA]])</f>
        <v>30</v>
      </c>
      <c r="O469" s="69"/>
      <c r="P469" s="69"/>
      <c r="Q469" s="69"/>
      <c r="R469" s="69"/>
      <c r="S469" s="69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34"/>
      <c r="BP469" s="22"/>
    </row>
    <row r="470" spans="1:68" s="3" customFormat="1" ht="25.5" customHeight="1">
      <c r="A470" s="22" t="s">
        <v>69</v>
      </c>
      <c r="B470" s="3">
        <v>25490451</v>
      </c>
      <c r="C470" s="3" t="s">
        <v>70</v>
      </c>
      <c r="D470" s="3" t="s">
        <v>71</v>
      </c>
      <c r="E470" s="6">
        <v>1460588444</v>
      </c>
      <c r="F470" s="3" t="s">
        <v>72</v>
      </c>
      <c r="G470" s="64">
        <v>11</v>
      </c>
      <c r="H470" s="15" t="s">
        <v>697</v>
      </c>
      <c r="I470" s="40" t="s">
        <v>74</v>
      </c>
      <c r="J470" s="63" t="s">
        <v>77</v>
      </c>
      <c r="K470" s="58" t="s">
        <v>627</v>
      </c>
      <c r="L470" s="75">
        <v>57</v>
      </c>
      <c r="M470" s="82">
        <v>53</v>
      </c>
      <c r="N470" s="84">
        <f>(Tabela1[[#This Row],[SIMULADO 2 NOTA]]-Tabela1[[#This Row],[SIMULADO 1 - NOTA]])</f>
        <v>-4</v>
      </c>
      <c r="O470" s="78"/>
      <c r="P470" s="78"/>
      <c r="Q470" s="78"/>
      <c r="R470" s="78"/>
      <c r="S470" s="78"/>
      <c r="T470" s="68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34"/>
      <c r="BP470" s="22"/>
    </row>
    <row r="471" spans="1:68" s="3" customFormat="1" ht="25.5" customHeight="1">
      <c r="A471" s="22" t="s">
        <v>69</v>
      </c>
      <c r="B471" s="5">
        <v>32767951</v>
      </c>
      <c r="C471" s="3" t="s">
        <v>70</v>
      </c>
      <c r="D471" s="3" t="s">
        <v>71</v>
      </c>
      <c r="E471" s="6">
        <v>12663579475</v>
      </c>
      <c r="F471" s="3" t="s">
        <v>78</v>
      </c>
      <c r="G471" s="64">
        <v>7</v>
      </c>
      <c r="H471" s="3" t="s">
        <v>698</v>
      </c>
      <c r="I471" s="41"/>
      <c r="J471" s="63" t="s">
        <v>77</v>
      </c>
      <c r="K471" s="57"/>
      <c r="L471" s="76">
        <v>0</v>
      </c>
      <c r="M471" s="81">
        <v>40</v>
      </c>
      <c r="N471" s="79">
        <f>(Tabela1[[#This Row],[SIMULADO 2 NOTA]]-Tabela1[[#This Row],[SIMULADO 1 - NOTA]])</f>
        <v>40</v>
      </c>
      <c r="O471" s="73"/>
      <c r="P471" s="73"/>
      <c r="Q471" s="73"/>
      <c r="R471" s="73"/>
      <c r="S471" s="73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34"/>
      <c r="BP471" s="22"/>
    </row>
    <row r="472" spans="1:68" s="3" customFormat="1" ht="25.5" customHeight="1">
      <c r="A472" s="22" t="s">
        <v>69</v>
      </c>
      <c r="B472" s="3">
        <v>26980410</v>
      </c>
      <c r="C472" s="3" t="s">
        <v>70</v>
      </c>
      <c r="D472" s="3" t="s">
        <v>71</v>
      </c>
      <c r="E472" s="6">
        <v>4807478494</v>
      </c>
      <c r="F472" s="3" t="s">
        <v>82</v>
      </c>
      <c r="G472" s="64">
        <v>11</v>
      </c>
      <c r="H472" s="15" t="s">
        <v>699</v>
      </c>
      <c r="I472" s="40" t="s">
        <v>74</v>
      </c>
      <c r="J472" s="63" t="s">
        <v>77</v>
      </c>
      <c r="K472" s="58" t="s">
        <v>438</v>
      </c>
      <c r="L472" s="75">
        <v>54</v>
      </c>
      <c r="M472" s="82">
        <v>45</v>
      </c>
      <c r="N472" s="84">
        <f>(Tabela1[[#This Row],[SIMULADO 2 NOTA]]-Tabela1[[#This Row],[SIMULADO 1 - NOTA]])</f>
        <v>-9</v>
      </c>
      <c r="O472" s="78"/>
      <c r="P472" s="78"/>
      <c r="Q472" s="78"/>
      <c r="R472" s="78"/>
      <c r="S472" s="78"/>
      <c r="T472" s="68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34"/>
      <c r="BP472" s="22"/>
    </row>
    <row r="473" spans="1:68" s="3" customFormat="1" ht="25.5" customHeight="1">
      <c r="A473" s="22" t="s">
        <v>69</v>
      </c>
      <c r="B473" s="3">
        <v>30516196</v>
      </c>
      <c r="C473" s="3" t="s">
        <v>70</v>
      </c>
      <c r="D473" s="3" t="s">
        <v>71</v>
      </c>
      <c r="E473" s="6">
        <v>66165563520</v>
      </c>
      <c r="F473" s="3" t="s">
        <v>91</v>
      </c>
      <c r="G473" s="64">
        <v>9</v>
      </c>
      <c r="H473" s="18" t="s">
        <v>700</v>
      </c>
      <c r="I473" s="43" t="s">
        <v>84</v>
      </c>
      <c r="J473" s="63" t="s">
        <v>75</v>
      </c>
      <c r="K473" s="58" t="s">
        <v>468</v>
      </c>
      <c r="L473" s="75">
        <v>38</v>
      </c>
      <c r="M473" s="81">
        <v>37</v>
      </c>
      <c r="N473" s="79">
        <f>(Tabela1[[#This Row],[SIMULADO 2 NOTA]]-Tabela1[[#This Row],[SIMULADO 1 - NOTA]])</f>
        <v>-1</v>
      </c>
      <c r="O473" s="71"/>
      <c r="P473" s="71"/>
      <c r="Q473" s="71"/>
      <c r="R473" s="71"/>
      <c r="S473" s="71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34"/>
      <c r="BP473" s="22"/>
    </row>
    <row r="474" spans="1:68" s="3" customFormat="1" ht="25.5" customHeight="1">
      <c r="A474" s="22" t="s">
        <v>69</v>
      </c>
      <c r="B474" s="3">
        <v>25173588</v>
      </c>
      <c r="C474" s="3" t="s">
        <v>70</v>
      </c>
      <c r="D474" s="3" t="s">
        <v>71</v>
      </c>
      <c r="E474" s="6">
        <v>7911526346</v>
      </c>
      <c r="F474" s="3" t="s">
        <v>72</v>
      </c>
      <c r="G474" s="64">
        <v>11</v>
      </c>
      <c r="H474" s="18" t="s">
        <v>701</v>
      </c>
      <c r="I474" s="43" t="s">
        <v>84</v>
      </c>
      <c r="J474" s="63" t="s">
        <v>77</v>
      </c>
      <c r="K474" s="58" t="s">
        <v>183</v>
      </c>
      <c r="L474" s="75">
        <v>46</v>
      </c>
      <c r="M474" s="82">
        <v>38</v>
      </c>
      <c r="N474" s="84">
        <f>(Tabela1[[#This Row],[SIMULADO 2 NOTA]]-Tabela1[[#This Row],[SIMULADO 1 - NOTA]])</f>
        <v>-8</v>
      </c>
      <c r="O474" s="78"/>
      <c r="P474" s="78"/>
      <c r="Q474" s="78"/>
      <c r="R474" s="78"/>
      <c r="S474" s="78"/>
      <c r="T474" s="68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34"/>
      <c r="BP474" s="22"/>
    </row>
    <row r="475" spans="1:68" s="3" customFormat="1" ht="25.5" customHeight="1">
      <c r="A475" s="22" t="s">
        <v>69</v>
      </c>
      <c r="B475" s="3">
        <v>26179920</v>
      </c>
      <c r="C475" s="3" t="s">
        <v>70</v>
      </c>
      <c r="D475" s="3" t="s">
        <v>71</v>
      </c>
      <c r="E475" s="6">
        <v>8625509479</v>
      </c>
      <c r="F475" s="3" t="s">
        <v>82</v>
      </c>
      <c r="G475" s="64">
        <v>11</v>
      </c>
      <c r="H475" s="15" t="s">
        <v>702</v>
      </c>
      <c r="I475" s="40" t="s">
        <v>74</v>
      </c>
      <c r="J475" s="63" t="s">
        <v>77</v>
      </c>
      <c r="K475" s="58" t="s">
        <v>237</v>
      </c>
      <c r="L475" s="75">
        <v>55</v>
      </c>
      <c r="M475" s="82">
        <v>47</v>
      </c>
      <c r="N475" s="84">
        <f>(Tabela1[[#This Row],[SIMULADO 2 NOTA]]-Tabela1[[#This Row],[SIMULADO 1 - NOTA]])</f>
        <v>-8</v>
      </c>
      <c r="O475" s="78"/>
      <c r="P475" s="78"/>
      <c r="Q475" s="78"/>
      <c r="R475" s="78"/>
      <c r="S475" s="78"/>
      <c r="T475" s="68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34"/>
      <c r="BP475" s="22"/>
    </row>
    <row r="476" spans="1:68" s="3" customFormat="1" ht="25.5" hidden="1" customHeight="1">
      <c r="A476" s="22" t="s">
        <v>69</v>
      </c>
      <c r="B476" s="3">
        <v>32821026</v>
      </c>
      <c r="C476" s="3" t="s">
        <v>70</v>
      </c>
      <c r="D476" s="3" t="s">
        <v>71</v>
      </c>
      <c r="E476" s="6">
        <v>14381025423</v>
      </c>
      <c r="F476" s="3" t="s">
        <v>78</v>
      </c>
      <c r="G476" s="64">
        <v>7</v>
      </c>
      <c r="H476" s="8" t="s">
        <v>703</v>
      </c>
      <c r="I476" s="42" t="s">
        <v>80</v>
      </c>
      <c r="J476" s="63" t="s">
        <v>77</v>
      </c>
      <c r="K476" s="58" t="s">
        <v>704</v>
      </c>
      <c r="L476" s="76">
        <v>0</v>
      </c>
      <c r="M476" s="81">
        <v>0</v>
      </c>
      <c r="N476" s="81">
        <f>(Tabela1[[#This Row],[SIMULADO 2 NOTA]]-Tabela1[[#This Row],[SIMULADO 1 - NOTA]])</f>
        <v>0</v>
      </c>
      <c r="O476" s="70"/>
      <c r="P476" s="70"/>
      <c r="Q476" s="70"/>
      <c r="R476" s="70"/>
      <c r="S476" s="70"/>
      <c r="T476" s="7"/>
      <c r="U476" s="7"/>
      <c r="V476" s="7" t="s">
        <v>87</v>
      </c>
      <c r="W476" s="7"/>
      <c r="X476" s="7"/>
      <c r="Y476" s="7"/>
      <c r="Z476" s="7"/>
      <c r="AA476" s="7">
        <v>3.9</v>
      </c>
      <c r="AB476" s="7">
        <v>4.5</v>
      </c>
      <c r="AC476" s="7"/>
      <c r="AD476" s="7">
        <v>2.5</v>
      </c>
      <c r="AE476" s="7">
        <v>5.5</v>
      </c>
      <c r="AF476" s="7"/>
      <c r="AG476" s="7"/>
      <c r="AH476" s="7"/>
      <c r="AI476" s="7"/>
      <c r="AJ476" s="7">
        <v>0</v>
      </c>
      <c r="AK476" s="7">
        <v>4</v>
      </c>
      <c r="AL476" s="7">
        <v>2.5</v>
      </c>
      <c r="AM476" s="7">
        <v>3</v>
      </c>
      <c r="AN476" s="7">
        <v>1</v>
      </c>
      <c r="AO476" s="7">
        <v>4.5</v>
      </c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34"/>
      <c r="BP476" s="22"/>
    </row>
    <row r="477" spans="1:68" s="3" customFormat="1" ht="25.5" hidden="1" customHeight="1">
      <c r="A477" s="22" t="s">
        <v>69</v>
      </c>
      <c r="B477" s="11">
        <v>28943325</v>
      </c>
      <c r="C477" s="3" t="s">
        <v>70</v>
      </c>
      <c r="D477" s="5" t="s">
        <v>109</v>
      </c>
      <c r="E477" s="6"/>
      <c r="F477" s="11" t="s">
        <v>72</v>
      </c>
      <c r="G477" s="66">
        <v>9</v>
      </c>
      <c r="H477" s="11" t="s">
        <v>705</v>
      </c>
      <c r="I477" s="46"/>
      <c r="J477" s="63" t="s">
        <v>75</v>
      </c>
      <c r="K477" s="59"/>
      <c r="L477" s="76">
        <v>0</v>
      </c>
      <c r="M477" s="81">
        <v>0</v>
      </c>
      <c r="N477" s="81">
        <f>(Tabela1[[#This Row],[SIMULADO 2 NOTA]]-Tabela1[[#This Row],[SIMULADO 1 - NOTA]])</f>
        <v>0</v>
      </c>
      <c r="O477" s="53"/>
      <c r="P477" s="53"/>
      <c r="Q477" s="53"/>
      <c r="R477" s="53"/>
      <c r="S477" s="53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34"/>
      <c r="BP477" s="22"/>
    </row>
    <row r="478" spans="1:68" s="3" customFormat="1" ht="25.5" customHeight="1">
      <c r="A478" s="32" t="s">
        <v>69</v>
      </c>
      <c r="B478" s="28">
        <v>30834635</v>
      </c>
      <c r="C478" s="28" t="s">
        <v>70</v>
      </c>
      <c r="D478" s="28" t="s">
        <v>71</v>
      </c>
      <c r="E478" s="29">
        <v>14833431467</v>
      </c>
      <c r="F478" s="28" t="s">
        <v>78</v>
      </c>
      <c r="G478" s="67">
        <v>9</v>
      </c>
      <c r="H478" s="28" t="s">
        <v>706</v>
      </c>
      <c r="I478" s="47"/>
      <c r="J478" s="63" t="s">
        <v>75</v>
      </c>
      <c r="K478" s="61" t="s">
        <v>684</v>
      </c>
      <c r="L478" s="77">
        <v>64</v>
      </c>
      <c r="M478" s="81">
        <v>63</v>
      </c>
      <c r="N478" s="79">
        <f>(Tabela1[[#This Row],[SIMULADO 2 NOTA]]-Tabela1[[#This Row],[SIMULADO 1 - NOTA]])</f>
        <v>-1</v>
      </c>
      <c r="O478" s="54"/>
      <c r="P478" s="54"/>
      <c r="Q478" s="54"/>
      <c r="R478" s="54"/>
      <c r="S478" s="54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6"/>
      <c r="BP478" s="22"/>
    </row>
    <row r="483" spans="5:5" ht="25.5" customHeight="1">
      <c r="E483" s="1" t="s">
        <v>707</v>
      </c>
    </row>
  </sheetData>
  <mergeCells count="1">
    <mergeCell ref="T2:BO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14E1-73C4-4713-ABB8-B8DA13464F2F}">
  <dimension ref="A1:B47"/>
  <sheetViews>
    <sheetView tabSelected="1" topLeftCell="A27" workbookViewId="0">
      <selection activeCell="A43" sqref="A43"/>
    </sheetView>
  </sheetViews>
  <sheetFormatPr defaultRowHeight="15"/>
  <cols>
    <col min="1" max="1" width="76.85546875" style="38" customWidth="1"/>
    <col min="2" max="2" width="45.5703125" style="87" customWidth="1"/>
  </cols>
  <sheetData>
    <row r="1" spans="1:2">
      <c r="A1" s="93" t="s">
        <v>708</v>
      </c>
      <c r="B1" s="93"/>
    </row>
    <row r="2" spans="1:2">
      <c r="A2" s="51" t="s">
        <v>709</v>
      </c>
      <c r="B2" s="85"/>
    </row>
    <row r="3" spans="1:2" ht="30.75">
      <c r="A3" s="48" t="s">
        <v>710</v>
      </c>
      <c r="B3" s="85" t="s">
        <v>711</v>
      </c>
    </row>
    <row r="4" spans="1:2" ht="30.75">
      <c r="A4" s="49" t="s">
        <v>712</v>
      </c>
      <c r="B4" s="85" t="s">
        <v>713</v>
      </c>
    </row>
    <row r="5" spans="1:2" ht="30.75">
      <c r="A5" s="49" t="s">
        <v>714</v>
      </c>
      <c r="B5" s="85" t="s">
        <v>713</v>
      </c>
    </row>
    <row r="6" spans="1:2" ht="45.75">
      <c r="A6" s="49" t="s">
        <v>715</v>
      </c>
      <c r="B6" s="85" t="s">
        <v>716</v>
      </c>
    </row>
    <row r="7" spans="1:2" ht="30.75">
      <c r="A7" s="49" t="s">
        <v>717</v>
      </c>
      <c r="B7" s="85" t="s">
        <v>713</v>
      </c>
    </row>
    <row r="8" spans="1:2" ht="30.75">
      <c r="A8" s="49" t="s">
        <v>718</v>
      </c>
      <c r="B8" s="85" t="s">
        <v>713</v>
      </c>
    </row>
    <row r="9" spans="1:2">
      <c r="A9" s="49" t="s">
        <v>719</v>
      </c>
      <c r="B9" s="85" t="s">
        <v>711</v>
      </c>
    </row>
    <row r="10" spans="1:2" ht="30.75">
      <c r="A10" s="49" t="s">
        <v>720</v>
      </c>
      <c r="B10" s="85" t="s">
        <v>713</v>
      </c>
    </row>
    <row r="11" spans="1:2">
      <c r="A11" s="49" t="s">
        <v>721</v>
      </c>
      <c r="B11" s="85" t="s">
        <v>713</v>
      </c>
    </row>
    <row r="12" spans="1:2">
      <c r="A12" s="49" t="s">
        <v>722</v>
      </c>
      <c r="B12" s="85" t="s">
        <v>713</v>
      </c>
    </row>
    <row r="13" spans="1:2">
      <c r="A13" s="49" t="s">
        <v>723</v>
      </c>
      <c r="B13" s="85" t="s">
        <v>713</v>
      </c>
    </row>
    <row r="14" spans="1:2">
      <c r="A14" s="49" t="s">
        <v>724</v>
      </c>
      <c r="B14" s="85" t="s">
        <v>716</v>
      </c>
    </row>
    <row r="15" spans="1:2" ht="30.75">
      <c r="A15" s="49" t="s">
        <v>725</v>
      </c>
      <c r="B15" s="85" t="s">
        <v>713</v>
      </c>
    </row>
    <row r="16" spans="1:2">
      <c r="A16" s="49" t="s">
        <v>726</v>
      </c>
      <c r="B16" s="85" t="s">
        <v>713</v>
      </c>
    </row>
    <row r="17" spans="1:2">
      <c r="A17" s="49" t="s">
        <v>727</v>
      </c>
      <c r="B17" s="85" t="s">
        <v>728</v>
      </c>
    </row>
    <row r="18" spans="1:2">
      <c r="A18" s="49" t="s">
        <v>729</v>
      </c>
      <c r="B18" s="85" t="s">
        <v>713</v>
      </c>
    </row>
    <row r="19" spans="1:2" ht="30.75">
      <c r="A19" s="49" t="s">
        <v>730</v>
      </c>
      <c r="B19" s="85" t="s">
        <v>713</v>
      </c>
    </row>
    <row r="20" spans="1:2">
      <c r="A20" s="50" t="s">
        <v>731</v>
      </c>
      <c r="B20" s="85" t="s">
        <v>732</v>
      </c>
    </row>
    <row r="21" spans="1:2">
      <c r="A21" s="48" t="s">
        <v>733</v>
      </c>
      <c r="B21" s="85" t="s">
        <v>713</v>
      </c>
    </row>
    <row r="22" spans="1:2" ht="30.75">
      <c r="A22" s="50" t="s">
        <v>734</v>
      </c>
      <c r="B22" s="85" t="s">
        <v>713</v>
      </c>
    </row>
    <row r="23" spans="1:2">
      <c r="A23" s="48" t="s">
        <v>735</v>
      </c>
      <c r="B23" s="85" t="s">
        <v>713</v>
      </c>
    </row>
    <row r="24" spans="1:2">
      <c r="A24" s="48" t="s">
        <v>736</v>
      </c>
      <c r="B24" s="85" t="s">
        <v>713</v>
      </c>
    </row>
    <row r="25" spans="1:2">
      <c r="A25" s="48" t="s">
        <v>737</v>
      </c>
      <c r="B25" s="85" t="s">
        <v>713</v>
      </c>
    </row>
    <row r="26" spans="1:2">
      <c r="A26" s="55" t="s">
        <v>738</v>
      </c>
      <c r="B26" s="85" t="s">
        <v>739</v>
      </c>
    </row>
    <row r="27" spans="1:2">
      <c r="A27" s="55" t="s">
        <v>740</v>
      </c>
      <c r="B27" s="85" t="s">
        <v>739</v>
      </c>
    </row>
    <row r="28" spans="1:2">
      <c r="A28" s="55" t="s">
        <v>741</v>
      </c>
      <c r="B28" s="85" t="s">
        <v>742</v>
      </c>
    </row>
    <row r="29" spans="1:2">
      <c r="A29" s="55" t="s">
        <v>743</v>
      </c>
      <c r="B29" s="85" t="s">
        <v>744</v>
      </c>
    </row>
    <row r="30" spans="1:2">
      <c r="A30" s="55" t="s">
        <v>745</v>
      </c>
      <c r="B30" s="85" t="s">
        <v>716</v>
      </c>
    </row>
    <row r="31" spans="1:2">
      <c r="A31" s="55" t="s">
        <v>746</v>
      </c>
      <c r="B31" s="85" t="s">
        <v>713</v>
      </c>
    </row>
    <row r="32" spans="1:2">
      <c r="A32" s="55" t="s">
        <v>747</v>
      </c>
      <c r="B32" s="91">
        <v>0.92</v>
      </c>
    </row>
    <row r="33" spans="1:2">
      <c r="A33" s="55" t="s">
        <v>748</v>
      </c>
      <c r="B33" s="91">
        <v>0.87</v>
      </c>
    </row>
    <row r="34" spans="1:2">
      <c r="A34" s="55" t="s">
        <v>749</v>
      </c>
      <c r="B34" s="91">
        <v>0.89</v>
      </c>
    </row>
    <row r="35" spans="1:2">
      <c r="A35" s="88" t="s">
        <v>750</v>
      </c>
      <c r="B35" s="89" t="s">
        <v>744</v>
      </c>
    </row>
    <row r="36" spans="1:2">
      <c r="A36" s="55"/>
      <c r="B36" s="86"/>
    </row>
    <row r="37" spans="1:2">
      <c r="A37" s="51" t="s">
        <v>751</v>
      </c>
      <c r="B37" s="86"/>
    </row>
    <row r="38" spans="1:2">
      <c r="A38" s="55" t="s">
        <v>752</v>
      </c>
      <c r="B38" s="86"/>
    </row>
    <row r="39" spans="1:2">
      <c r="A39" s="55" t="s">
        <v>753</v>
      </c>
      <c r="B39" s="86"/>
    </row>
    <row r="40" spans="1:2">
      <c r="A40" s="55" t="s">
        <v>754</v>
      </c>
      <c r="B40" s="86"/>
    </row>
    <row r="41" spans="1:2">
      <c r="A41" s="55" t="s">
        <v>755</v>
      </c>
      <c r="B41" s="86"/>
    </row>
    <row r="42" spans="1:2">
      <c r="A42" s="88" t="s">
        <v>756</v>
      </c>
      <c r="B42" s="90"/>
    </row>
    <row r="43" spans="1:2">
      <c r="A43" s="55" t="s">
        <v>757</v>
      </c>
      <c r="B43" s="86" t="s">
        <v>758</v>
      </c>
    </row>
    <row r="44" spans="1:2">
      <c r="A44" s="55"/>
      <c r="B44" s="86"/>
    </row>
    <row r="45" spans="1:2">
      <c r="A45" s="55"/>
      <c r="B45" s="86"/>
    </row>
    <row r="46" spans="1:2">
      <c r="A46" s="55"/>
      <c r="B46" s="86"/>
    </row>
    <row r="47" spans="1:2">
      <c r="A47" s="55"/>
      <c r="B47" s="8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Alisson Da Silva Alves</dc:creator>
  <cp:keywords/>
  <dc:description/>
  <cp:lastModifiedBy/>
  <cp:revision/>
  <dcterms:created xsi:type="dcterms:W3CDTF">2015-09-14T15:26:35Z</dcterms:created>
  <dcterms:modified xsi:type="dcterms:W3CDTF">2026-06-18T19:58:20Z</dcterms:modified>
  <cp:category/>
  <cp:contentStatus/>
</cp:coreProperties>
</file>